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oomIQ Launch v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<sst xmlns="http://schemas.openxmlformats.org/spreadsheetml/2006/main" count="116" uniqueCount="102">
  <si>
    <t xml:space="preserve">BloomIQ — Production launch cost &amp; revenue plan (v2)</t>
  </si>
  <si>
    <t xml:space="preserve">Scenario: 3,000 free + 2,000 paid users in month 1 · ₹59/mo subscription · USD → INR 96 · Gemini Flash for LLM</t>
  </si>
  <si>
    <t xml:space="preserve">Key assumptions (yellow cells are inputs — change to re-run)</t>
  </si>
  <si>
    <t xml:space="preserve">Free users (month 1)</t>
  </si>
  <si>
    <t xml:space="preserve">Paid users (month 1)</t>
  </si>
  <si>
    <t xml:space="preserve">Avg paid subscription (INR/month)</t>
  </si>
  <si>
    <t xml:space="preserve">Free-user weekly-active ratio</t>
  </si>
  <si>
    <t xml:space="preserve">Paid-user weekly-active ratio</t>
  </si>
  <si>
    <t xml:space="preserve">AI actions/month per active FREE user</t>
  </si>
  <si>
    <t xml:space="preserve">AI actions/month per active PAID user</t>
  </si>
  <si>
    <t xml:space="preserve">Avg tokens per AI action (mixed in+out)</t>
  </si>
  <si>
    <t xml:space="preserve">Gemini Flash cost per 1M tokens, USD</t>
  </si>
  <si>
    <t xml:space="preserve">USD → INR exchange rate</t>
  </si>
  <si>
    <t xml:space="preserve">Razorpay fee (% of revenue)</t>
  </si>
  <si>
    <t xml:space="preserve">GST on Razorpay fee</t>
  </si>
  <si>
    <t xml:space="preserve">→ Active FREE users (B5 × B8)</t>
  </si>
  <si>
    <t xml:space="preserve">→ Active PAID users (B6 × B9)</t>
  </si>
  <si>
    <t xml:space="preserve">→ Total monthly AI actions</t>
  </si>
  <si>
    <t xml:space="preserve">→ Total monthly LLM tokens</t>
  </si>
  <si>
    <t xml:space="preserve">→ Gemini Flash cost per 1M tokens (INR)</t>
  </si>
  <si>
    <t xml:space="preserve">→ Implied Gemini Flash cost / month (INR)</t>
  </si>
  <si>
    <t xml:space="preserve">#</t>
  </si>
  <si>
    <t xml:space="preserve">Category</t>
  </si>
  <si>
    <t xml:space="preserve">Line item</t>
  </si>
  <si>
    <t xml:space="preserve">Provider / Vendor</t>
  </si>
  <si>
    <t xml:space="preserve">One-time (INR)</t>
  </si>
  <si>
    <t xml:space="preserve">Monthly (INR)</t>
  </si>
  <si>
    <t xml:space="preserve">Why this price</t>
  </si>
  <si>
    <t xml:space="preserve">  ── TECHNICAL ──</t>
  </si>
  <si>
    <t xml:space="preserve">Technical</t>
  </si>
  <si>
    <t xml:space="preserve">Hosting (Next.js app + serverless functions)</t>
  </si>
  <si>
    <t xml:space="preserve">Vercel Pro</t>
  </si>
  <si>
    <t xml:space="preserve">Pro = $20/mo, needed for 30–60s function timeouts (used by /api/generate, /api/xray/analyze, /api/papers/generate), team analytics, longer builds. Includes 1TB bandwidth + 100K function calls/mo — well above 5K-user launch traffic.</t>
  </si>
  <si>
    <t xml:space="preserve">Database, Auth, Storage (Postgres + Supabase Auth + RLS)</t>
  </si>
  <si>
    <t xml:space="preserve">Supabase Pro</t>
  </si>
  <si>
    <t xml:space="preserve">Pro = $25/mo, includes 8GB DB + 100GB egress + 100K MAUs + daily backups + 7-day PITR + no auto-pause. Free tier pauses after 7 days of inactivity — unacceptable with paying users.</t>
  </si>
  <si>
    <t xml:space="preserve">Transactional email (signup confirms, resets, notifications)</t>
  </si>
  <si>
    <t xml:space="preserve">Resend Pro</t>
  </si>
  <si>
    <t xml:space="preserve">5K signups + ongoing notifications easily exceed Resend's 3K free tier. Pro = $20/mo, 50K emails. Includes magic-link reliability that matters for school admins.</t>
  </si>
  <si>
    <t xml:space="preserve">LLM inference (question gen, tutor, recommendations, coaches)</t>
  </si>
  <si>
    <t xml:space="preserve">Gemini 2.0 Flash</t>
  </si>
  <si>
    <t xml:space="preserve">Computed from the assumption block (active users × actions × tokens × price). Existing rate limits in lib/rateLimit.ts and lib/freeQuota.ts hard-cap runaway exposure. 3–5× cheaper than Groq on the same workload.</t>
  </si>
  <si>
    <t xml:space="preserve">Domain name (.com or .in)</t>
  </si>
  <si>
    <t xml:space="preserve">Namecheap / GoDaddy</t>
  </si>
  <si>
    <t xml:space="preserve">₹1,200–₹1,800/yr for .com; .in slightly less. Includes WHOIS privacy. SSL is free via Vercel/Let's Encrypt. Listed amortised monthly.</t>
  </si>
  <si>
    <t xml:space="preserve">Error tracking &amp; performance monitoring</t>
  </si>
  <si>
    <t xml:space="preserve">Sentry (free tier)</t>
  </si>
  <si>
    <t xml:space="preserve">Free tier = 5K errors/mo + 10K performance events. At 5K users with good error hygiene you'll be under. Move to Team (~$26/mo) if error volume crosses 3K/mo or you want longer retention.</t>
  </si>
  <si>
    <t xml:space="preserve">Backups (database off-site copies)</t>
  </si>
  <si>
    <t xml:space="preserve">Supabase Pro built-in + weekly S3</t>
  </si>
  <si>
    <t xml:space="preserve">Supabase Pro already covers daily backups + PITR. The optional S3 line is paranoia-grade — weekly pg_dump shipped to AWS S3 Glacier costs pennies. Worth doing once paid school customers exist.</t>
  </si>
  <si>
    <t xml:space="preserve">Image / video generation (Concept Visualizer)</t>
  </si>
  <si>
    <t xml:space="preserve">Gemini Imagen / Veo via API</t>
  </si>
  <si>
    <t xml:space="preserve">Gated to Premium Plus + rate-limited. Pay-per-image (~$0.03–0.04). Budget assumes modest adoption among 2K paid users.</t>
  </si>
  <si>
    <t xml:space="preserve">  ── LEGAL ──</t>
  </si>
  <si>
    <t xml:space="preserve">Legal</t>
  </si>
  <si>
    <t xml:space="preserve">Company incorporation (Pvt Ltd)</t>
  </si>
  <si>
    <t xml:space="preserve">IndiaFilings / Vakilsearch / Razorpay Rize</t>
  </si>
  <si>
    <t xml:space="preserve">One-time. Limits personal liability, lets you sign B2B contracts with schools, unlocks the current-account requirement for Razorpay. Includes MoA, AoA, DIN, PAN, TAN.</t>
  </si>
  <si>
    <t xml:space="preserve">CA / accountant retainer (GST, ROC, TDS filings)</t>
  </si>
  <si>
    <t xml:space="preserve">Local CA firm</t>
  </si>
  <si>
    <t xml:space="preserve">Monthly recurring. Handles GSTR-1/3B, ROC compliance (DIR-3 KYC, INC-22), TDS. GST registration becomes mandatory once turnover crosses ₹20L (₹40L for services in some states). At 2K × ₹59 × 12 = ₹14.16L annual revenue you're under the threshold for year 1 — but register voluntarily to claim input credit.</t>
  </si>
  <si>
    <t xml:space="preserve">Trademark — BloomIQ (Class 9 + Class 41)</t>
  </si>
  <si>
    <t xml:space="preserve">Govt fee + IP attorney</t>
  </si>
  <si>
    <t xml:space="preserve">₹4,500 govt fee per class per mark × 2 classes ≈ ₹9,000 + ₹15–20K attorney fee. Use ™ symbol from filing day; ® after registration (12–24 months). Strong defensive signal in school sales conversations.</t>
  </si>
  <si>
    <t xml:space="preserve">Trademark — ScoreIQ (only if you split sub-brand)</t>
  </si>
  <si>
    <t xml:space="preserve">EXCLUDED from totals — only file if ScoreIQ has a distinct audience or pricing model. Otherwise keep as a feature inside BloomIQ.</t>
  </si>
  <si>
    <t xml:space="preserve">Legal review — T&amp;C, Privacy, Refund Policy</t>
  </si>
  <si>
    <t xml:space="preserve">Tech-startup lawyer</t>
  </si>
  <si>
    <t xml:space="preserve">One-time. Lawyer red-lines your existing /terms and /privacy for DPDP Act compliance, minor-user consent, EdTech consumer rules. Razorpay requires a published refund policy before full merchant activation.</t>
  </si>
  <si>
    <t xml:space="preserve">DPDP Act compliance setup</t>
  </si>
  <si>
    <t xml:space="preserve">Lawyer or compliance consultant</t>
  </si>
  <si>
    <t xml:space="preserve">One-time ₹15–35K for consent UX, account-deletion flow, breach-notification plan, parental-consent gate for under-18s. Monthly ₹0–2K if you don't yet need a dedicated DPO (threshold ≈ ₹50L turnover or 50K users).</t>
  </si>
  <si>
    <t xml:space="preserve">Cyber liability insurance</t>
  </si>
  <si>
    <t xml:space="preserve">Bajaj Allianz / ICICI Lombard / HDFC Ergo</t>
  </si>
  <si>
    <t xml:space="preserve">₹15–40K/yr policy covering data-breach response, forensics, legal fees, customer notification. Negotiable B2B selling point. Amortised monthly here.</t>
  </si>
  <si>
    <t xml:space="preserve">  ── PAYMENT ──</t>
  </si>
  <si>
    <t xml:space="preserve">Payment</t>
  </si>
  <si>
    <t xml:space="preserve">Razorpay processing</t>
  </si>
  <si>
    <t xml:space="preserve">Razorpay</t>
  </si>
  <si>
    <t xml:space="preserve">VARIABLE, self-funds out of revenue. 2% of gross + 18% GST on the fee. Computed from paid users × subscription × 2% × 1.18. Free to activate; needs Pvt Ltd current account.</t>
  </si>
  <si>
    <t xml:space="preserve">TOTAL COSTS (excluding optional ScoreIQ trademark)</t>
  </si>
  <si>
    <t xml:space="preserve">Monthly is fully loaded (incl. Razorpay variable fee at current paid-user assumption).</t>
  </si>
  <si>
    <t xml:space="preserve">REVENUE &amp; BREAKEVEN</t>
  </si>
  <si>
    <t xml:space="preserve">Gross monthly revenue (paid users × subscription)</t>
  </si>
  <si>
    <t xml:space="preserve">2,000 paid × ₹59 — assumes 100% don't churn in month 1.</t>
  </si>
  <si>
    <t xml:space="preserve">Less: Razorpay fee (2% + 18% GST)</t>
  </si>
  <si>
    <t xml:space="preserve">Already captured in cost table; shown here as a deduction so net revenue is honest.</t>
  </si>
  <si>
    <t xml:space="preserve">Net monthly revenue</t>
  </si>
  <si>
    <t xml:space="preserve">What actually lands in the company bank account each month before any costs.</t>
  </si>
  <si>
    <t xml:space="preserve">Less: Monthly costs (from cost table)</t>
  </si>
  <si>
    <t xml:space="preserve">Cost table already includes Razorpay; we add it back here so we don't double-count.</t>
  </si>
  <si>
    <t xml:space="preserve">Net monthly profit / (loss)</t>
  </si>
  <si>
    <t xml:space="preserve">The actual monthly operating result. If green, you're profitable month-to-month.</t>
  </si>
  <si>
    <t xml:space="preserve">First-year operating cost</t>
  </si>
  <si>
    <t xml:space="preserve">Total cash you need before profitability — useful for an investor deck or co-founder conversation.</t>
  </si>
  <si>
    <t xml:space="preserve">First-year gross revenue</t>
  </si>
  <si>
    <t xml:space="preserve">2,000 paid × ₹59 × 12 — flat user count (no growth) for a conservative floor.</t>
  </si>
  <si>
    <t xml:space="preserve">First-year net cash position</t>
  </si>
  <si>
    <t xml:space="preserve">Cash in pocket at end of year 1 if user count holds steady at 2K paid + 3K free. Razorpay added back so we don't double-count.</t>
  </si>
  <si>
    <t xml:space="preserve">Paid users needed to break even monthly (at ₹59)</t>
  </si>
  <si>
    <t xml:space="preserve">Solves for paid users × (₹59 - Razorpay-on-each) = fixed monthly costs. Compare to your 2,000 paid users.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</si>
</sst>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₹#,##0"/>
    <numFmt numFmtId="167" formatCode="0%"/>
    <numFmt numFmtId="168" formatCode="\$0.000"/>
    <numFmt numFmtId="169" formatCode="0.0%"/>
    <numFmt numFmtId="170" formatCode="\₹#,##0;&quot;(₹&quot;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7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7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B5" s="5" t="n">
        <v>3000</v>
      </c>
    </row>
    <row r="6" customFormat="false" ht="15" hidden="false" customHeight="false" outlineLevel="0" collapsed="false">
      <c r="A6" s="4" t="s">
        <v>4</v>
      </c>
      <c r="B6" s="5" t="n">
        <v>2000</v>
      </c>
    </row>
    <row r="7" customFormat="false" ht="15" hidden="false" customHeight="false" outlineLevel="0" collapsed="false">
      <c r="A7" s="4" t="s">
        <v>5</v>
      </c>
      <c r="B7" s="6" t="n">
        <v>59</v>
      </c>
    </row>
    <row r="8" customFormat="false" ht="15" hidden="false" customHeight="false" outlineLevel="0" collapsed="false">
      <c r="A8" s="4" t="s">
        <v>6</v>
      </c>
      <c r="B8" s="7" t="n">
        <v>0.3</v>
      </c>
    </row>
    <row r="9" customFormat="false" ht="15" hidden="false" customHeight="false" outlineLevel="0" collapsed="false">
      <c r="A9" s="4" t="s">
        <v>7</v>
      </c>
      <c r="B9" s="7" t="n">
        <v>0.7</v>
      </c>
    </row>
    <row r="10" customFormat="false" ht="15" hidden="false" customHeight="false" outlineLevel="0" collapsed="false">
      <c r="A10" s="4" t="s">
        <v>8</v>
      </c>
      <c r="B10" s="5" t="n">
        <v>8</v>
      </c>
    </row>
    <row r="11" customFormat="false" ht="15" hidden="false" customHeight="false" outlineLevel="0" collapsed="false">
      <c r="A11" s="4" t="s">
        <v>9</v>
      </c>
      <c r="B11" s="5" t="n">
        <v>25</v>
      </c>
    </row>
    <row r="12" customFormat="false" ht="15" hidden="false" customHeight="false" outlineLevel="0" collapsed="false">
      <c r="A12" s="4" t="s">
        <v>10</v>
      </c>
      <c r="B12" s="5" t="n">
        <v>25000</v>
      </c>
    </row>
    <row r="13" customFormat="false" ht="15" hidden="false" customHeight="false" outlineLevel="0" collapsed="false">
      <c r="A13" s="4" t="s">
        <v>11</v>
      </c>
      <c r="B13" s="8" t="n">
        <v>0.2</v>
      </c>
    </row>
    <row r="14" customFormat="false" ht="15" hidden="false" customHeight="false" outlineLevel="0" collapsed="false">
      <c r="A14" s="4" t="s">
        <v>12</v>
      </c>
      <c r="B14" s="6" t="n">
        <v>96</v>
      </c>
    </row>
    <row r="15" customFormat="false" ht="15" hidden="false" customHeight="false" outlineLevel="0" collapsed="false">
      <c r="A15" s="4" t="s">
        <v>13</v>
      </c>
      <c r="B15" s="9" t="n">
        <v>0.02</v>
      </c>
    </row>
    <row r="16" customFormat="false" ht="15" hidden="false" customHeight="false" outlineLevel="0" collapsed="false">
      <c r="A16" s="4" t="s">
        <v>14</v>
      </c>
      <c r="B16" s="9" t="n">
        <v>0.18</v>
      </c>
    </row>
    <row r="18" customFormat="false" ht="15" hidden="false" customHeight="false" outlineLevel="0" collapsed="false">
      <c r="A18" s="10" t="s">
        <v>15</v>
      </c>
      <c r="B18" s="11" t="n">
        <f aca="false">B5*B8</f>
        <v>900</v>
      </c>
    </row>
    <row r="19" customFormat="false" ht="15" hidden="false" customHeight="false" outlineLevel="0" collapsed="false">
      <c r="A19" s="10" t="s">
        <v>16</v>
      </c>
      <c r="B19" s="11" t="n">
        <f aca="false">B6*B9</f>
        <v>1400</v>
      </c>
    </row>
    <row r="20" customFormat="false" ht="15" hidden="false" customHeight="false" outlineLevel="0" collapsed="false">
      <c r="A20" s="10" t="s">
        <v>17</v>
      </c>
      <c r="B20" s="11" t="n">
        <f aca="false">B18*B10+B19*B11</f>
        <v>42200</v>
      </c>
    </row>
    <row r="21" customFormat="false" ht="15" hidden="false" customHeight="false" outlineLevel="0" collapsed="false">
      <c r="A21" s="10" t="s">
        <v>18</v>
      </c>
      <c r="B21" s="11" t="n">
        <f aca="false">B20*B12</f>
        <v>1055000000</v>
      </c>
    </row>
    <row r="22" customFormat="false" ht="15" hidden="false" customHeight="false" outlineLevel="0" collapsed="false">
      <c r="A22" s="10" t="s">
        <v>19</v>
      </c>
      <c r="B22" s="12" t="n">
        <f aca="false">B13*B14</f>
        <v>19.2</v>
      </c>
    </row>
    <row r="23" customFormat="false" ht="15" hidden="false" customHeight="false" outlineLevel="0" collapsed="false">
      <c r="A23" s="10" t="s">
        <v>20</v>
      </c>
      <c r="B23" s="13" t="n">
        <f aca="false">B21/1000000*B22</f>
        <v>20256</v>
      </c>
    </row>
    <row r="25" customFormat="false" ht="15" hidden="false" customHeight="false" outlineLevel="0" collapsed="false">
      <c r="A25" s="14" t="s">
        <v>21</v>
      </c>
      <c r="B25" s="14" t="s">
        <v>22</v>
      </c>
      <c r="C25" s="14" t="s">
        <v>23</v>
      </c>
      <c r="D25" s="14" t="s">
        <v>24</v>
      </c>
      <c r="E25" s="14" t="s">
        <v>25</v>
      </c>
      <c r="F25" s="14" t="s">
        <v>26</v>
      </c>
      <c r="G25" s="14" t="s">
        <v>27</v>
      </c>
    </row>
    <row r="26" customFormat="false" ht="21.75" hidden="false" customHeight="true" outlineLevel="0" collapsed="false">
      <c r="A26" s="15" t="s">
        <v>28</v>
      </c>
      <c r="B26" s="15"/>
      <c r="C26" s="15"/>
      <c r="D26" s="15"/>
      <c r="E26" s="15"/>
      <c r="F26" s="15"/>
      <c r="G26" s="15"/>
    </row>
    <row r="27" customFormat="false" ht="61.5" hidden="false" customHeight="true" outlineLevel="0" collapsed="false">
      <c r="A27" s="16" t="n">
        <v>1</v>
      </c>
      <c r="B27" s="17" t="s">
        <v>29</v>
      </c>
      <c r="C27" s="17" t="s">
        <v>30</v>
      </c>
      <c r="D27" s="17" t="s">
        <v>31</v>
      </c>
      <c r="E27" s="18"/>
      <c r="F27" s="18" t="n">
        <f aca="false">20*B14</f>
        <v>1920</v>
      </c>
      <c r="G27" s="17" t="s">
        <v>32</v>
      </c>
    </row>
    <row r="28" customFormat="false" ht="61.5" hidden="false" customHeight="true" outlineLevel="0" collapsed="false">
      <c r="A28" s="16" t="n">
        <v>2</v>
      </c>
      <c r="B28" s="17" t="s">
        <v>29</v>
      </c>
      <c r="C28" s="17" t="s">
        <v>33</v>
      </c>
      <c r="D28" s="17" t="s">
        <v>34</v>
      </c>
      <c r="E28" s="18"/>
      <c r="F28" s="18" t="n">
        <f aca="false">25*B14</f>
        <v>2400</v>
      </c>
      <c r="G28" s="17" t="s">
        <v>35</v>
      </c>
    </row>
    <row r="29" customFormat="false" ht="61.5" hidden="false" customHeight="true" outlineLevel="0" collapsed="false">
      <c r="A29" s="16" t="n">
        <v>3</v>
      </c>
      <c r="B29" s="17" t="s">
        <v>29</v>
      </c>
      <c r="C29" s="17" t="s">
        <v>36</v>
      </c>
      <c r="D29" s="17" t="s">
        <v>37</v>
      </c>
      <c r="E29" s="18"/>
      <c r="F29" s="18" t="n">
        <f aca="false">20*B14</f>
        <v>1920</v>
      </c>
      <c r="G29" s="17" t="s">
        <v>38</v>
      </c>
    </row>
    <row r="30" customFormat="false" ht="61.5" hidden="false" customHeight="true" outlineLevel="0" collapsed="false">
      <c r="A30" s="16" t="n">
        <v>4</v>
      </c>
      <c r="B30" s="17" t="s">
        <v>29</v>
      </c>
      <c r="C30" s="17" t="s">
        <v>39</v>
      </c>
      <c r="D30" s="17" t="s">
        <v>40</v>
      </c>
      <c r="E30" s="18"/>
      <c r="F30" s="18" t="n">
        <f aca="false">B23</f>
        <v>20256</v>
      </c>
      <c r="G30" s="17" t="s">
        <v>41</v>
      </c>
    </row>
    <row r="31" customFormat="false" ht="61.5" hidden="false" customHeight="true" outlineLevel="0" collapsed="false">
      <c r="A31" s="16" t="n">
        <v>5</v>
      </c>
      <c r="B31" s="17" t="s">
        <v>29</v>
      </c>
      <c r="C31" s="17" t="s">
        <v>42</v>
      </c>
      <c r="D31" s="17" t="s">
        <v>43</v>
      </c>
      <c r="E31" s="18"/>
      <c r="F31" s="18" t="n">
        <v>100</v>
      </c>
      <c r="G31" s="17" t="s">
        <v>44</v>
      </c>
    </row>
    <row r="32" customFormat="false" ht="61.5" hidden="false" customHeight="true" outlineLevel="0" collapsed="false">
      <c r="A32" s="16" t="n">
        <v>6</v>
      </c>
      <c r="B32" s="17" t="s">
        <v>29</v>
      </c>
      <c r="C32" s="17" t="s">
        <v>45</v>
      </c>
      <c r="D32" s="17" t="s">
        <v>46</v>
      </c>
      <c r="E32" s="18"/>
      <c r="F32" s="18"/>
      <c r="G32" s="17" t="s">
        <v>47</v>
      </c>
    </row>
    <row r="33" customFormat="false" ht="61.5" hidden="false" customHeight="true" outlineLevel="0" collapsed="false">
      <c r="A33" s="16" t="n">
        <v>7</v>
      </c>
      <c r="B33" s="17" t="s">
        <v>29</v>
      </c>
      <c r="C33" s="17" t="s">
        <v>48</v>
      </c>
      <c r="D33" s="17" t="s">
        <v>49</v>
      </c>
      <c r="E33" s="18"/>
      <c r="F33" s="18" t="n">
        <v>500</v>
      </c>
      <c r="G33" s="17" t="s">
        <v>50</v>
      </c>
    </row>
    <row r="34" customFormat="false" ht="61.5" hidden="false" customHeight="true" outlineLevel="0" collapsed="false">
      <c r="A34" s="16" t="n">
        <v>8</v>
      </c>
      <c r="B34" s="17" t="s">
        <v>29</v>
      </c>
      <c r="C34" s="17" t="s">
        <v>51</v>
      </c>
      <c r="D34" s="17" t="s">
        <v>52</v>
      </c>
      <c r="E34" s="18"/>
      <c r="F34" s="18" t="n">
        <v>2500</v>
      </c>
      <c r="G34" s="17" t="s">
        <v>53</v>
      </c>
    </row>
    <row r="35" customFormat="false" ht="21.75" hidden="false" customHeight="true" outlineLevel="0" collapsed="false">
      <c r="A35" s="15" t="s">
        <v>54</v>
      </c>
      <c r="B35" s="15"/>
      <c r="C35" s="15"/>
      <c r="D35" s="15"/>
      <c r="E35" s="15"/>
      <c r="F35" s="15"/>
      <c r="G35" s="15"/>
    </row>
    <row r="36" customFormat="false" ht="61.5" hidden="false" customHeight="true" outlineLevel="0" collapsed="false">
      <c r="A36" s="16" t="n">
        <v>9</v>
      </c>
      <c r="B36" s="17" t="s">
        <v>55</v>
      </c>
      <c r="C36" s="17" t="s">
        <v>56</v>
      </c>
      <c r="D36" s="17" t="s">
        <v>57</v>
      </c>
      <c r="E36" s="18" t="n">
        <v>25000</v>
      </c>
      <c r="F36" s="18"/>
      <c r="G36" s="17" t="s">
        <v>58</v>
      </c>
    </row>
    <row r="37" customFormat="false" ht="61.5" hidden="false" customHeight="true" outlineLevel="0" collapsed="false">
      <c r="A37" s="16" t="n">
        <v>10</v>
      </c>
      <c r="B37" s="17" t="s">
        <v>55</v>
      </c>
      <c r="C37" s="17" t="s">
        <v>59</v>
      </c>
      <c r="D37" s="17" t="s">
        <v>60</v>
      </c>
      <c r="E37" s="18"/>
      <c r="F37" s="18" t="n">
        <v>3000</v>
      </c>
      <c r="G37" s="17" t="s">
        <v>61</v>
      </c>
    </row>
    <row r="38" customFormat="false" ht="61.5" hidden="false" customHeight="true" outlineLevel="0" collapsed="false">
      <c r="A38" s="16" t="n">
        <v>11</v>
      </c>
      <c r="B38" s="17" t="s">
        <v>55</v>
      </c>
      <c r="C38" s="17" t="s">
        <v>62</v>
      </c>
      <c r="D38" s="17" t="s">
        <v>63</v>
      </c>
      <c r="E38" s="18" t="n">
        <v>30000</v>
      </c>
      <c r="F38" s="18"/>
      <c r="G38" s="17" t="s">
        <v>64</v>
      </c>
    </row>
    <row r="39" customFormat="false" ht="61.5" hidden="false" customHeight="true" outlineLevel="0" collapsed="false">
      <c r="A39" s="16" t="n">
        <v>12</v>
      </c>
      <c r="B39" s="17" t="s">
        <v>55</v>
      </c>
      <c r="C39" s="17" t="s">
        <v>65</v>
      </c>
      <c r="D39" s="17" t="s">
        <v>63</v>
      </c>
      <c r="E39" s="18" t="n">
        <v>30000</v>
      </c>
      <c r="F39" s="18"/>
      <c r="G39" s="17" t="s">
        <v>66</v>
      </c>
    </row>
    <row r="40" customFormat="false" ht="61.5" hidden="false" customHeight="true" outlineLevel="0" collapsed="false">
      <c r="A40" s="16" t="n">
        <v>13</v>
      </c>
      <c r="B40" s="17" t="s">
        <v>55</v>
      </c>
      <c r="C40" s="17" t="s">
        <v>67</v>
      </c>
      <c r="D40" s="17" t="s">
        <v>68</v>
      </c>
      <c r="E40" s="18" t="n">
        <v>35000</v>
      </c>
      <c r="F40" s="18"/>
      <c r="G40" s="17" t="s">
        <v>69</v>
      </c>
    </row>
    <row r="41" customFormat="false" ht="61.5" hidden="false" customHeight="true" outlineLevel="0" collapsed="false">
      <c r="A41" s="16" t="n">
        <v>14</v>
      </c>
      <c r="B41" s="17" t="s">
        <v>55</v>
      </c>
      <c r="C41" s="17" t="s">
        <v>70</v>
      </c>
      <c r="D41" s="17" t="s">
        <v>71</v>
      </c>
      <c r="E41" s="18" t="n">
        <v>25000</v>
      </c>
      <c r="F41" s="18" t="n">
        <v>1000</v>
      </c>
      <c r="G41" s="17" t="s">
        <v>72</v>
      </c>
    </row>
    <row r="42" customFormat="false" ht="61.5" hidden="false" customHeight="true" outlineLevel="0" collapsed="false">
      <c r="A42" s="16" t="n">
        <v>15</v>
      </c>
      <c r="B42" s="17" t="s">
        <v>55</v>
      </c>
      <c r="C42" s="17" t="s">
        <v>73</v>
      </c>
      <c r="D42" s="17" t="s">
        <v>74</v>
      </c>
      <c r="E42" s="18"/>
      <c r="F42" s="18" t="n">
        <v>2500</v>
      </c>
      <c r="G42" s="17" t="s">
        <v>75</v>
      </c>
    </row>
    <row r="43" customFormat="false" ht="21.75" hidden="false" customHeight="true" outlineLevel="0" collapsed="false">
      <c r="A43" s="15" t="s">
        <v>76</v>
      </c>
      <c r="B43" s="15"/>
      <c r="C43" s="15"/>
      <c r="D43" s="15"/>
      <c r="E43" s="15"/>
      <c r="F43" s="15"/>
      <c r="G43" s="15"/>
    </row>
    <row r="44" customFormat="false" ht="61.5" hidden="false" customHeight="true" outlineLevel="0" collapsed="false">
      <c r="A44" s="16" t="n">
        <v>16</v>
      </c>
      <c r="B44" s="17" t="s">
        <v>77</v>
      </c>
      <c r="C44" s="17" t="s">
        <v>78</v>
      </c>
      <c r="D44" s="17" t="s">
        <v>79</v>
      </c>
      <c r="E44" s="18"/>
      <c r="F44" s="18" t="n">
        <f aca="false">B6*B7*B15*(1+B16)</f>
        <v>2784.8</v>
      </c>
      <c r="G44" s="17" t="s">
        <v>80</v>
      </c>
    </row>
    <row r="46" customFormat="false" ht="31.5" hidden="false" customHeight="true" outlineLevel="0" collapsed="false">
      <c r="D46" s="19" t="s">
        <v>81</v>
      </c>
      <c r="E46" s="20" t="n">
        <f aca="false">SUM(E27:E44)-E39</f>
        <v>115000</v>
      </c>
      <c r="F46" s="20" t="n">
        <f aca="false">SUM(F27:F44)</f>
        <v>38880.8</v>
      </c>
      <c r="G46" s="21" t="s">
        <v>82</v>
      </c>
    </row>
    <row r="48" customFormat="false" ht="30" hidden="false" customHeight="true" outlineLevel="0" collapsed="false">
      <c r="A48" s="22" t="s">
        <v>83</v>
      </c>
      <c r="B48" s="22"/>
      <c r="C48" s="22"/>
      <c r="D48" s="22"/>
      <c r="E48" s="22"/>
      <c r="F48" s="22"/>
      <c r="G48" s="22"/>
    </row>
    <row r="49" customFormat="false" ht="30" hidden="false" customHeight="true" outlineLevel="0" collapsed="false">
      <c r="D49" s="23" t="s">
        <v>84</v>
      </c>
      <c r="F49" s="13" t="n">
        <f aca="false">B6*B7</f>
        <v>118000</v>
      </c>
      <c r="G49" s="21" t="s">
        <v>85</v>
      </c>
    </row>
    <row r="50" customFormat="false" ht="30" hidden="false" customHeight="true" outlineLevel="0" collapsed="false">
      <c r="D50" s="24" t="s">
        <v>86</v>
      </c>
      <c r="F50" s="12" t="n">
        <f aca="false">-B6*B7*B15*(1+B16)</f>
        <v>-2784.8</v>
      </c>
      <c r="G50" s="21" t="s">
        <v>87</v>
      </c>
    </row>
    <row r="51" customFormat="false" ht="30" hidden="false" customHeight="true" outlineLevel="0" collapsed="false">
      <c r="D51" s="25" t="s">
        <v>88</v>
      </c>
      <c r="F51" s="26" t="n">
        <f aca="false">B6*B7-B6*B7*B15*(1+B16)</f>
        <v>115215.2</v>
      </c>
      <c r="G51" s="21" t="s">
        <v>89</v>
      </c>
    </row>
    <row r="52" customFormat="false" ht="30" hidden="false" customHeight="true" outlineLevel="0" collapsed="false">
      <c r="D52" s="24" t="s">
        <v>90</v>
      </c>
      <c r="F52" s="12" t="n">
        <f aca="false">-F46+B6*B7*B15*(1+B16)</f>
        <v>-36096</v>
      </c>
      <c r="G52" s="21" t="s">
        <v>91</v>
      </c>
    </row>
    <row r="53" customFormat="false" ht="30" hidden="false" customHeight="true" outlineLevel="0" collapsed="false">
      <c r="D53" s="27" t="s">
        <v>92</v>
      </c>
      <c r="F53" s="28" t="n">
        <f aca="false">B6*B7-B6*B7*B15*(1+B16)-F46+B6*B7*B15*(1+B16)</f>
        <v>79119.2</v>
      </c>
      <c r="G53" s="21" t="s">
        <v>93</v>
      </c>
    </row>
    <row r="54" customFormat="false" ht="30" hidden="false" customHeight="true" outlineLevel="0" collapsed="false">
      <c r="D54" s="24" t="s">
        <v>94</v>
      </c>
      <c r="F54" s="12" t="n">
        <f aca="false">E46+F46*12</f>
        <v>581569.6</v>
      </c>
      <c r="G54" s="21" t="s">
        <v>95</v>
      </c>
    </row>
    <row r="55" customFormat="false" ht="30" hidden="false" customHeight="true" outlineLevel="0" collapsed="false">
      <c r="D55" s="24" t="s">
        <v>96</v>
      </c>
      <c r="F55" s="12" t="n">
        <f aca="false">B6*B7*12</f>
        <v>1416000</v>
      </c>
      <c r="G55" s="21" t="s">
        <v>97</v>
      </c>
    </row>
    <row r="56" customFormat="false" ht="30" hidden="false" customHeight="true" outlineLevel="0" collapsed="false">
      <c r="D56" s="27" t="s">
        <v>98</v>
      </c>
      <c r="F56" s="28" t="n">
        <f aca="false">B6*B7*12-(B6*B7*B15*(1+B16))*12-E46-F46*12+(B6*B7*B15*(1+B16))*12</f>
        <v>834430.4</v>
      </c>
      <c r="G56" s="21" t="s">
        <v>99</v>
      </c>
    </row>
    <row r="57" customFormat="false" ht="30" hidden="false" customHeight="true" outlineLevel="0" collapsed="false">
      <c r="D57" s="25" t="s">
        <v>100</v>
      </c>
      <c r="F57" s="29" t="n">
        <f aca="false">ROUNDUP((F46-B6*B7*B15*(1+B16))/(B7*(1-B15*(1+B16))),0)</f>
        <v>627</v>
      </c>
      <c r="G57" s="21" t="s">
        <v>101</v>
      </c>
    </row>
  </sheetData>
  <mergeCells count="7">
    <mergeCell ref="A1:G1"/>
    <mergeCell ref="A2:G2"/>
    <mergeCell ref="A4:G4"/>
    <mergeCell ref="A26:G26"/>
    <mergeCell ref="A35:G35"/>
    <mergeCell ref="A43:G43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2026-05-13T10:18:50Z</dcterms:created>
  <dc:creator>openpyxl</dc:creator>
  <dc:description/>
  <dc:language>en-US</dc:language>
  <cp:lastModifiedBy/>
  <dcterms:modified xsi:type="dcterms:W3CDTF">2026-05-13T10:18:50Z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