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mvip\bloomiq\"/>
    </mc:Choice>
  </mc:AlternateContent>
  <xr:revisionPtr revIDLastSave="0" documentId="13_ncr:1_{1C8045BA-97EE-40FD-BB9A-7C4375F6D480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loomIQ Tech Cos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1" i="1" l="1"/>
  <c r="F68" i="1"/>
  <c r="E68" i="1"/>
  <c r="F67" i="1"/>
  <c r="E67" i="1"/>
  <c r="F66" i="1"/>
  <c r="E66" i="1"/>
  <c r="F65" i="1"/>
  <c r="E65" i="1"/>
  <c r="F64" i="1"/>
  <c r="E64" i="1"/>
  <c r="D51" i="1"/>
  <c r="D50" i="1"/>
  <c r="D49" i="1"/>
  <c r="D45" i="1"/>
  <c r="D44" i="1"/>
  <c r="D43" i="1"/>
  <c r="D42" i="1"/>
  <c r="D41" i="1"/>
  <c r="D40" i="1"/>
  <c r="D39" i="1"/>
  <c r="D38" i="1"/>
  <c r="F33" i="1"/>
  <c r="D52" i="1" s="1"/>
  <c r="C33" i="1"/>
  <c r="F32" i="1"/>
  <c r="C32" i="1"/>
  <c r="F31" i="1"/>
  <c r="G31" i="1" s="1"/>
  <c r="C31" i="1"/>
  <c r="F30" i="1"/>
  <c r="C30" i="1"/>
  <c r="F29" i="1"/>
  <c r="C29" i="1"/>
  <c r="F28" i="1"/>
  <c r="C28" i="1"/>
  <c r="F27" i="1"/>
  <c r="C27" i="1"/>
  <c r="F26" i="1"/>
  <c r="C26" i="1"/>
  <c r="D58" i="1" l="1"/>
  <c r="D59" i="1" s="1"/>
</calcChain>
</file>

<file path=xl/sharedStrings.xml><?xml version="1.0" encoding="utf-8"?>
<sst xmlns="http://schemas.openxmlformats.org/spreadsheetml/2006/main" count="144" uniqueCount="142">
  <si>
    <t>BloomIQ — Technical infrastructure costs, explained</t>
  </si>
  <si>
    <t>Self-explanatory cost plan for sharing with the team · Month-1 scenario: 3,000 free + 2,000 paid users</t>
  </si>
  <si>
    <t>GLOSSARY — read this first if you're new to the terms</t>
  </si>
  <si>
    <t>AI action</t>
  </si>
  <si>
    <t>Any single user-triggered request where BloomIQ's brain (the AI) has to think. Examples: a student clicks 'Generate questions' on a topic, a student opens the Tutor and asks one doubt, a teacher uploads a past paper for X-Ray analysis, a student asks for recommendations after a quiz. One click = one AI action, even if internally we make several calls to the AI provider.</t>
  </si>
  <si>
    <t>Active user</t>
  </si>
  <si>
    <t>Someone who actually uses BloomIQ at least once in a given week. Not everyone who signs up is active — typically only 30–40% of free signups and 60–80% of paid subscribers actually log in regularly. We bill based on what they DO, not what they signed up for.</t>
  </si>
  <si>
    <t>Token</t>
  </si>
  <si>
    <t>A token is roughly ¾ of an English word. The AI charges based on how many tokens it reads (the question + context we send) and how many it writes (the answer). A typical 'Generate 10 questions for a topic' request reads ~15,000 tokens (system prompt + topic + previous questions to avoid repeating) and writes ~10,000 tokens (the questions themselves). So one Generate ≈ 25,000 tokens total.</t>
  </si>
  <si>
    <t>Gemini Flash</t>
  </si>
  <si>
    <t>Google's small/fast AI model — currently the cheapest mainstream option for our workload. We pay per million tokens: $0.10 for reading + $0.40 for writing. Mixed average ≈ $0.20 per million tokens, which at USD→INR 96 is roughly ₹19.20 per million tokens.</t>
  </si>
  <si>
    <t>Rate limits</t>
  </si>
  <si>
    <t>Caps already built into BloomIQ that stop a single user from hammering the AI all day. See lib/rateLimit.ts and lib/freeQuota.ts in the codebase. These are the safety net that keeps the LLM bill from running away.</t>
  </si>
  <si>
    <t>ASSUMPTIONS — yellow cells are inputs; change them to re-run the whole model</t>
  </si>
  <si>
    <t>What it measures</t>
  </si>
  <si>
    <t>Value</t>
  </si>
  <si>
    <t>Why this number</t>
  </si>
  <si>
    <t>Free users signed up (month 1)</t>
  </si>
  <si>
    <t>BloomIQ's expected free-tier signups in the first month after launch.</t>
  </si>
  <si>
    <t>Paid users signed up (month 1)</t>
  </si>
  <si>
    <t>BloomIQ's expected paying subscribers in month 1. They unlock Premium / Premium Plus features.</t>
  </si>
  <si>
    <t>Free-user weekly-active ratio</t>
  </si>
  <si>
    <t>Of the 3,000 free signups, ~30% actually log in any given week. Industry-typical for freemium EdTech.</t>
  </si>
  <si>
    <t>Paid-user weekly-active ratio</t>
  </si>
  <si>
    <t>Paying users engage much more — ~70% weekly. They're invested.</t>
  </si>
  <si>
    <t>AI actions per active FREE user / month</t>
  </si>
  <si>
    <t>Free tier is rate-limited (see freeQuota.ts). They get ~2 generate clicks + a few tutor questions per week.</t>
  </si>
  <si>
    <t>AI actions per active PAID user / month</t>
  </si>
  <si>
    <t>Paid users get more quota and use more features — generates, tutor, coach, X-Ray, sprint, etc.</t>
  </si>
  <si>
    <t>Tokens per AI action (avg)</t>
  </si>
  <si>
    <t>Average across all action types: a heavy Generate is 40K tokens, a Tutor question is 3K, balances out around 25K.</t>
  </si>
  <si>
    <t>Gemini Flash cost per 1M tokens (USD)</t>
  </si>
  <si>
    <t>Mixed price: $0.10 input + $0.40 output. At our roughly 60/40 read/write split, ≈ $0.20 per million.</t>
  </si>
  <si>
    <t>USD → INR exchange rate</t>
  </si>
  <si>
    <t>Current rate. Cost line items in dollars (Vercel, Supabase, Resend, Gemini) re-compute when you change this.</t>
  </si>
  <si>
    <t>HOW THE GEMINI FLASH COST IS CALCULATED (step by step)</t>
  </si>
  <si>
    <t>We start with users → keep only active ones → multiply by how many AI things they do per month → multiply by how big each thing is in tokens → multiply by the per-token price. Six rows of arithmetic, no magic.</t>
  </si>
  <si>
    <t>Step</t>
  </si>
  <si>
    <t>Formula in English</t>
  </si>
  <si>
    <t>Math</t>
  </si>
  <si>
    <t>Result</t>
  </si>
  <si>
    <t>1. Active free users</t>
  </si>
  <si>
    <t>Free signups × free-user active ratio</t>
  </si>
  <si>
    <t>2. Active paid users</t>
  </si>
  <si>
    <t>Paid signups × paid-user active ratio</t>
  </si>
  <si>
    <t>3. Monthly AI actions from FREE users</t>
  </si>
  <si>
    <t>Active free users × free actions/user</t>
  </si>
  <si>
    <t>4. Monthly AI actions from PAID users</t>
  </si>
  <si>
    <t>Active paid users × paid actions/user</t>
  </si>
  <si>
    <t>5. Total monthly AI actions</t>
  </si>
  <si>
    <t>Free actions + paid actions</t>
  </si>
  <si>
    <t>6. Total monthly tokens</t>
  </si>
  <si>
    <t>Total actions × avg tokens per action</t>
  </si>
  <si>
    <t>7. Cost per 1M tokens in INR</t>
  </si>
  <si>
    <t>Gemini USD price × USD→INR rate</t>
  </si>
  <si>
    <t>8. Final Gemini Flash cost / month</t>
  </si>
  <si>
    <t>Total tokens ÷ 1,000,000 × INR per million</t>
  </si>
  <si>
    <t>WORKED EXAMPLES — what one of each type of AI action looks like</t>
  </si>
  <si>
    <t>Tokens vary by action type. The 25,000-token average we use in the model is an honest mid-point across the mix below. Cost per action assumes Gemini Flash at ₹19.20 per million tokens.</t>
  </si>
  <si>
    <t>Action a user does</t>
  </si>
  <si>
    <t>What happens behind the scenes</t>
  </si>
  <si>
    <t>Tokens used</t>
  </si>
  <si>
    <t>Cost (INR)</t>
  </si>
  <si>
    <t>Student types 'Photosynthesis' and clicks Generate 10 questions</t>
  </si>
  <si>
    <t>We send the topic + prior-question history + 6 Bloom-level instructions, the AI writes 10 MCQs with explanations, a verifier re-checks the answer keys.</t>
  </si>
  <si>
    <t>Student opens the Tutor and asks one doubt</t>
  </si>
  <si>
    <t>Short prompt + the doubt + a few turns of history. The Tutor replies in 2–3 paragraphs Socratically (no answer dump).</t>
  </si>
  <si>
    <t>Student finishes a quiz and clicks 'Predict my rank'</t>
  </si>
  <si>
    <t>We send the score + Bloom breakdown to the AI for 3 high-leverage recommendations.</t>
  </si>
  <si>
    <t>Student runs Misconception Detective on a 10-question quiz</t>
  </si>
  <si>
    <t>Wrong answers + question stems get sent for diagnosis of the mental error behind each.</t>
  </si>
  <si>
    <t>Teacher uploads a past paper for X-Ray</t>
  </si>
  <si>
    <t>The full paper PDF text (sometimes 20+ pages) plus tagging instructions. Largest single endpoint.</t>
  </si>
  <si>
    <t>Student asks Coach for a study plan</t>
  </si>
  <si>
    <t>Recent attempts + weakest areas + goal context, plus the conversation history.</t>
  </si>
  <si>
    <t>Student completes a Speed Trainer session</t>
  </si>
  <si>
    <t>10 questions generated up front + per-question pacing analysis at the end.</t>
  </si>
  <si>
    <t>Student plays one Concept Visualizer</t>
  </si>
  <si>
    <t>Concept name → animation script (text) + voice-over → image generation. Image cost is separate (~$0.04).</t>
  </si>
  <si>
    <t>MONTHLY COST TABLE</t>
  </si>
  <si>
    <t>#</t>
  </si>
  <si>
    <t>Line item</t>
  </si>
  <si>
    <t>Provider</t>
  </si>
  <si>
    <t>Monthly (INR)</t>
  </si>
  <si>
    <t>Setup type</t>
  </si>
  <si>
    <t>Why this price</t>
  </si>
  <si>
    <t>Hosting (the Next.js app + serverless functions that run our API)</t>
  </si>
  <si>
    <t>Vercel Pro</t>
  </si>
  <si>
    <t>Flat $20/mo</t>
  </si>
  <si>
    <t>Pro is needed because some of our endpoints (Generate, X-Ray, Paper) can take 30–60 seconds, which the free tier doesn't allow. Includes 1TB bandwidth and 100K function calls per month — well above 5K-user launch traffic.</t>
  </si>
  <si>
    <t>Database + sign-in + file storage (Postgres + Supabase Auth)</t>
  </si>
  <si>
    <t>Supabase Pro</t>
  </si>
  <si>
    <t>Flat $25/mo</t>
  </si>
  <si>
    <t>Pro tier = 8GB database, 100GB egress, 100,000 monthly active users included, daily backups, 7-day point-in-time recovery, and the project never auto-pauses (free tier pauses after 7 days of inactivity, which would lock paying users out).</t>
  </si>
  <si>
    <t>Transactional email (signup confirms, password resets, notifications)</t>
  </si>
  <si>
    <t>Resend Pro</t>
  </si>
  <si>
    <t>We'll exceed the free 3,000-emails/month tier within the first week of signup. Pro includes 50,000 emails plus dedicated IPs that improve magic-link deliverability — important for school admins.</t>
  </si>
  <si>
    <t>LLM inference (the AI behind question generation, tutor, coach, etc.)</t>
  </si>
  <si>
    <t>Gemini 2.0 Flash via API</t>
  </si>
  <si>
    <t>Usage-based</t>
  </si>
  <si>
    <t>Comes straight from the step-by-step calculation above. Our existing rate limits cap individual users so this can't run away. ~3-5× cheaper than the Groq provider we currently use in code; switching is a one-file change.</t>
  </si>
  <si>
    <t>Domain name (.com or .in)</t>
  </si>
  <si>
    <t>Namecheap / GoDaddy</t>
  </si>
  <si>
    <t>₹1,200–1,800/yr</t>
  </si>
  <si>
    <t>Annual fee shown amortised monthly. SSL is free via Vercel / Let's Encrypt — no separate certificate cost.</t>
  </si>
  <si>
    <t>Crash and error monitoring (notifies us when users hit errors)</t>
  </si>
  <si>
    <t>Sentry (free tier)</t>
  </si>
  <si>
    <t>Free tier</t>
  </si>
  <si>
    <t>5,000 errors/month + 10,000 performance events in the free tier. Move to paid (~$26/mo) only if error volume crosses 3K/mo or we want longer than 30-day retention.</t>
  </si>
  <si>
    <t>Off-site database backups (insurance against vendor incidents)</t>
  </si>
  <si>
    <t>Weekly pg_dump shipped to AWS S3 Glacier</t>
  </si>
  <si>
    <t>Cheap supplement</t>
  </si>
  <si>
    <t>Supabase Pro already backs up daily. The S3 line is belt-and-braces — a weekly dump shipped to Glacier-tier storage costs almost nothing and means we don't depend on a single vendor for customer data.</t>
  </si>
  <si>
    <t>Image / video generation (powers Concept Visualizer feature)</t>
  </si>
  <si>
    <t>Gemini Imagen / Veo via API</t>
  </si>
  <si>
    <t>Gated to Premium Plus and rate-limited. Pay-per-image (~$0.03–0.04). Budget assumes modest adoption among 2K paid users.</t>
  </si>
  <si>
    <t>TOTAL MONTHLY</t>
  </si>
  <si>
    <t>Excludes Razorpay payment fees (% of revenue) and legal/insurance costs.</t>
  </si>
  <si>
    <t>ANNUAL (12 × monthly)</t>
  </si>
  <si>
    <t>Flat run-rate. Grows with active-user count, mainly via the LLM line.</t>
  </si>
  <si>
    <t>WHAT-IF SCENARIOS — see how the LLM line moves with usage</t>
  </si>
  <si>
    <t>Scenario</t>
  </si>
  <si>
    <t>Active free users</t>
  </si>
  <si>
    <t>Active paid users</t>
  </si>
  <si>
    <t>Actions / paid user</t>
  </si>
  <si>
    <t>Tokens / month</t>
  </si>
  <si>
    <t>Gemini cost (INR)</t>
  </si>
  <si>
    <t>Current model (3K free + 2K paid)</t>
  </si>
  <si>
    <t>Engagement doubles (paid users 50 actions/mo)</t>
  </si>
  <si>
    <t>Launch grows 3× to 15K users (90/10 split paid)</t>
  </si>
  <si>
    <t>Heavy growth — 50K signups, similar mix</t>
  </si>
  <si>
    <t>Generate-heavy launch (tokens/action = 40K)</t>
  </si>
  <si>
    <t>NOTES FOR THE TEAM</t>
  </si>
  <si>
    <t>•  Why is Gemini Flash the biggest line? Because every other line is a small flat fee, while LLM cost scales with how much users do. At 1.1B tokens/month, even a cheap model adds up.</t>
  </si>
  <si>
    <t>•  What stops the LLM bill from exploding? Two things: (1) rate limits in code cap how often any user can hit the AI; (2) the free quota in lib/freeQuota.ts means free users can't churn through expensive endpoints all day.</t>
  </si>
  <si>
    <t>•  Why use Gemini Flash and not Claude or GPT? Pure cost. Flash is ~3-5× cheaper than Groq on our workload and ~15-50× cheaper than Claude Sonnet. We can selectively call a smarter model for specific surfaces (e.g., teach-back grading) if quality matters more than cost.</t>
  </si>
  <si>
    <t>•  When will Sentry / Resend's free tier break? Resend at ~3K emails/month (we'll cross this in week 1); Sentry at ~5K errors/month (probably never if the app is healthy). The sheet already prices in Resend Pro.</t>
  </si>
  <si>
    <t>•  What's NOT in this sheet? Razorpay (2% of revenue, self-funds), legal/incorporation/trademark costs, cyber insurance, salaries. See the comprehensive sheet for those.</t>
  </si>
  <si>
    <t>•  How do I re-run this for a different scenario? Change the yellow cells in the Assumptions section. Everything downstream — the step-by-step calc, the cost table's LLM line, and the totals — updates automatically.</t>
  </si>
  <si>
    <t>Revenue permonth</t>
  </si>
  <si>
    <t>Highly unpredictable</t>
  </si>
  <si>
    <t>Average 59Rs from paid user, around 2% will be RazorPay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</si>
</sst>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0.000"/>
    <numFmt numFmtId="165" formatCode="\₹#,##0"/>
    <numFmt numFmtId="166" formatCode="\₹#,##0.00"/>
    <numFmt numFmtId="167" formatCode="\₹0.00"/>
    <numFmt numFmtId="168" formatCode="\₹#,##0;&quot;(₹&quot;#,##0\);\-"/>
  </numFmts>
  <fonts count="17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1"/>
      <color rgb="FF595959"/>
      <name val="Arial"/>
      <charset val="1"/>
    </font>
    <font>
      <b/>
      <sz val="12"/>
      <color rgb="FF1F4E78"/>
      <name val="Arial"/>
      <charset val="1"/>
    </font>
    <font>
      <b/>
      <sz val="11"/>
      <color rgb="FF1F4E78"/>
      <name val="Arial"/>
      <charset val="1"/>
    </font>
    <font>
      <sz val="10"/>
      <color rgb="FF404040"/>
      <name val="Arial"/>
      <charset val="1"/>
    </font>
    <font>
      <b/>
      <sz val="10"/>
      <color rgb="FFFFFFFF"/>
      <name val="Arial"/>
      <charset val="1"/>
    </font>
    <font>
      <sz val="10"/>
      <color rgb="FF595959"/>
      <name val="Arial"/>
      <charset val="1"/>
    </font>
    <font>
      <b/>
      <sz val="10"/>
      <color rgb="FF0000FF"/>
      <name val="Arial"/>
      <charset val="1"/>
    </font>
    <font>
      <i/>
      <sz val="9"/>
      <color rgb="FF595959"/>
      <name val="Arial"/>
      <charset val="1"/>
    </font>
    <font>
      <i/>
      <sz val="10"/>
      <color rgb="FF404040"/>
      <name val="Arial"/>
      <charset val="1"/>
    </font>
    <font>
      <b/>
      <sz val="10"/>
      <color rgb="FF1F4E78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b/>
      <sz val="12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2F2F2"/>
        <bgColor rgb="FFFFF8E1"/>
      </patternFill>
    </fill>
    <fill>
      <patternFill patternType="solid">
        <fgColor rgb="FF595959"/>
        <bgColor rgb="FF404040"/>
      </patternFill>
    </fill>
    <fill>
      <patternFill patternType="solid">
        <fgColor rgb="FFFFF2CC"/>
        <bgColor rgb="FFFFF8E1"/>
      </patternFill>
    </fill>
    <fill>
      <patternFill patternType="solid">
        <fgColor rgb="FFFFF8E1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 applyAlignment="1">
      <alignment horizontal="left" vertical="top" wrapText="1"/>
    </xf>
    <xf numFmtId="167" fontId="12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left" vertical="center" wrapText="1"/>
    </xf>
    <xf numFmtId="0" fontId="10" fillId="6" borderId="0" xfId="0" applyFont="1" applyFill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3" fontId="8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top" wrapText="1"/>
    </xf>
    <xf numFmtId="9" fontId="8" fillId="5" borderId="1" xfId="0" applyNumberFormat="1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165" fontId="8" fillId="5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right" vertical="top"/>
    </xf>
    <xf numFmtId="166" fontId="12" fillId="0" borderId="1" xfId="0" applyNumberFormat="1" applyFont="1" applyBorder="1" applyAlignment="1">
      <alignment horizontal="right" vertical="top"/>
    </xf>
    <xf numFmtId="165" fontId="13" fillId="7" borderId="1" xfId="0" applyNumberFormat="1" applyFont="1" applyFill="1" applyBorder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/>
    </xf>
    <xf numFmtId="168" fontId="12" fillId="0" borderId="1" xfId="0" applyNumberFormat="1" applyFont="1" applyBorder="1" applyAlignment="1">
      <alignment horizontal="right" vertical="top"/>
    </xf>
    <xf numFmtId="0" fontId="15" fillId="2" borderId="1" xfId="0" applyFont="1" applyFill="1" applyBorder="1" applyAlignment="1">
      <alignment horizontal="right" vertical="center"/>
    </xf>
    <xf numFmtId="168" fontId="16" fillId="2" borderId="1" xfId="0" applyNumberFormat="1" applyFont="1" applyFill="1" applyBorder="1" applyAlignment="1">
      <alignment horizontal="right" vertical="top"/>
    </xf>
    <xf numFmtId="0" fontId="0" fillId="2" borderId="1" xfId="0" applyFill="1" applyBorder="1"/>
    <xf numFmtId="0" fontId="3" fillId="5" borderId="1" xfId="0" applyFont="1" applyFill="1" applyBorder="1" applyAlignment="1">
      <alignment horizontal="right" vertical="center"/>
    </xf>
    <xf numFmtId="168" fontId="16" fillId="5" borderId="1" xfId="0" applyNumberFormat="1" applyFont="1" applyFill="1" applyBorder="1" applyAlignment="1">
      <alignment horizontal="right" vertical="top"/>
    </xf>
    <xf numFmtId="0" fontId="0" fillId="5" borderId="1" xfId="0" applyFill="1" applyBorder="1"/>
    <xf numFmtId="3" fontId="12" fillId="9" borderId="1" xfId="0" applyNumberFormat="1" applyFont="1" applyFill="1" applyBorder="1" applyAlignment="1">
      <alignment horizontal="right" vertical="top"/>
    </xf>
    <xf numFmtId="168" fontId="12" fillId="9" borderId="1" xfId="0" applyNumberFormat="1" applyFont="1" applyFill="1" applyBorder="1" applyAlignment="1">
      <alignment horizontal="right" vertical="top"/>
    </xf>
    <xf numFmtId="0" fontId="3" fillId="5" borderId="0" xfId="0" applyFont="1" applyFill="1" applyBorder="1" applyAlignment="1">
      <alignment horizontal="right" vertical="center"/>
    </xf>
    <xf numFmtId="168" fontId="16" fillId="5" borderId="0" xfId="0" applyNumberFormat="1" applyFont="1" applyFill="1" applyBorder="1" applyAlignment="1">
      <alignment horizontal="right" vertical="top"/>
    </xf>
    <xf numFmtId="0" fontId="0" fillId="5" borderId="0" xfId="0" applyFill="1" applyBorder="1"/>
    <xf numFmtId="0" fontId="9" fillId="0" borderId="0" xfId="0" applyFont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6"/>
  <sheetViews>
    <sheetView tabSelected="1" zoomScaleNormal="100" workbookViewId="0">
      <pane ySplit="3" topLeftCell="A12" activePane="bottomLeft" state="frozen"/>
      <selection pane="bottomLeft" activeCell="H63" sqref="H63"/>
    </sheetView>
  </sheetViews>
  <sheetFormatPr defaultColWidth="8.6640625" defaultRowHeight="14.4" x14ac:dyDescent="0.3"/>
  <cols>
    <col min="1" max="1" width="36" customWidth="1"/>
    <col min="2" max="2" width="38" customWidth="1"/>
    <col min="3" max="3" width="22" customWidth="1"/>
    <col min="4" max="5" width="16" customWidth="1"/>
    <col min="6" max="6" width="50" customWidth="1"/>
  </cols>
  <sheetData>
    <row r="1" spans="1:6" ht="27.75" customHeight="1" x14ac:dyDescent="0.4">
      <c r="A1" s="10" t="s">
        <v>0</v>
      </c>
      <c r="B1" s="10"/>
      <c r="C1" s="10"/>
      <c r="D1" s="10"/>
      <c r="E1" s="10"/>
      <c r="F1" s="10"/>
    </row>
    <row r="2" spans="1:6" x14ac:dyDescent="0.3">
      <c r="A2" s="9" t="s">
        <v>1</v>
      </c>
      <c r="B2" s="9"/>
      <c r="C2" s="9"/>
      <c r="D2" s="9"/>
      <c r="E2" s="9"/>
      <c r="F2" s="9"/>
    </row>
    <row r="4" spans="1:6" ht="21.75" customHeight="1" x14ac:dyDescent="0.3">
      <c r="A4" s="8" t="s">
        <v>2</v>
      </c>
      <c r="B4" s="8"/>
      <c r="C4" s="8"/>
      <c r="D4" s="8"/>
      <c r="E4" s="8"/>
      <c r="F4" s="8"/>
    </row>
    <row r="5" spans="1:6" ht="75" customHeight="1" x14ac:dyDescent="0.3">
      <c r="A5" s="11" t="s">
        <v>3</v>
      </c>
      <c r="B5" s="7" t="s">
        <v>4</v>
      </c>
      <c r="C5" s="7"/>
      <c r="D5" s="7"/>
      <c r="E5" s="7"/>
      <c r="F5" s="7"/>
    </row>
    <row r="6" spans="1:6" ht="75" customHeight="1" x14ac:dyDescent="0.3">
      <c r="A6" s="11" t="s">
        <v>5</v>
      </c>
      <c r="B6" s="7" t="s">
        <v>6</v>
      </c>
      <c r="C6" s="7"/>
      <c r="D6" s="7"/>
      <c r="E6" s="7"/>
      <c r="F6" s="7"/>
    </row>
    <row r="7" spans="1:6" ht="75" customHeight="1" x14ac:dyDescent="0.3">
      <c r="A7" s="11" t="s">
        <v>7</v>
      </c>
      <c r="B7" s="7" t="s">
        <v>8</v>
      </c>
      <c r="C7" s="7"/>
      <c r="D7" s="7"/>
      <c r="E7" s="7"/>
      <c r="F7" s="7"/>
    </row>
    <row r="8" spans="1:6" ht="75" customHeight="1" x14ac:dyDescent="0.3">
      <c r="A8" s="11" t="s">
        <v>9</v>
      </c>
      <c r="B8" s="7" t="s">
        <v>10</v>
      </c>
      <c r="C8" s="7"/>
      <c r="D8" s="7"/>
      <c r="E8" s="7"/>
      <c r="F8" s="7"/>
    </row>
    <row r="9" spans="1:6" ht="75" customHeight="1" x14ac:dyDescent="0.3">
      <c r="A9" s="11" t="s">
        <v>11</v>
      </c>
      <c r="B9" s="7" t="s">
        <v>12</v>
      </c>
      <c r="C9" s="7"/>
      <c r="D9" s="7"/>
      <c r="E9" s="7"/>
      <c r="F9" s="7"/>
    </row>
    <row r="11" spans="1:6" ht="21.75" customHeight="1" x14ac:dyDescent="0.3">
      <c r="A11" s="8" t="s">
        <v>13</v>
      </c>
      <c r="B11" s="8"/>
      <c r="C11" s="8"/>
      <c r="D11" s="8"/>
      <c r="E11" s="8"/>
      <c r="F11" s="8"/>
    </row>
    <row r="12" spans="1:6" ht="15" customHeight="1" x14ac:dyDescent="0.3">
      <c r="A12" s="13" t="s">
        <v>14</v>
      </c>
      <c r="B12" s="13" t="s">
        <v>15</v>
      </c>
      <c r="C12" s="6" t="s">
        <v>16</v>
      </c>
      <c r="D12" s="6"/>
      <c r="E12" s="6"/>
      <c r="F12" s="6"/>
    </row>
    <row r="13" spans="1:6" ht="36" customHeight="1" x14ac:dyDescent="0.3">
      <c r="A13" s="14" t="s">
        <v>17</v>
      </c>
      <c r="B13" s="15">
        <v>3000</v>
      </c>
      <c r="C13" s="5" t="s">
        <v>18</v>
      </c>
      <c r="D13" s="5"/>
      <c r="E13" s="5"/>
      <c r="F13" s="5"/>
    </row>
    <row r="14" spans="1:6" ht="36" customHeight="1" x14ac:dyDescent="0.3">
      <c r="A14" s="14" t="s">
        <v>19</v>
      </c>
      <c r="B14" s="15">
        <v>2000</v>
      </c>
      <c r="C14" s="5" t="s">
        <v>20</v>
      </c>
      <c r="D14" s="5"/>
      <c r="E14" s="5"/>
      <c r="F14" s="5"/>
    </row>
    <row r="15" spans="1:6" ht="36" customHeight="1" x14ac:dyDescent="0.3">
      <c r="A15" s="14" t="s">
        <v>21</v>
      </c>
      <c r="B15" s="17">
        <v>0.3</v>
      </c>
      <c r="C15" s="5" t="s">
        <v>22</v>
      </c>
      <c r="D15" s="5"/>
      <c r="E15" s="5"/>
      <c r="F15" s="5"/>
    </row>
    <row r="16" spans="1:6" ht="36" customHeight="1" x14ac:dyDescent="0.3">
      <c r="A16" s="14" t="s">
        <v>23</v>
      </c>
      <c r="B16" s="17">
        <v>0.7</v>
      </c>
      <c r="C16" s="5" t="s">
        <v>24</v>
      </c>
      <c r="D16" s="5"/>
      <c r="E16" s="5"/>
      <c r="F16" s="5"/>
    </row>
    <row r="17" spans="1:7" ht="36" customHeight="1" x14ac:dyDescent="0.3">
      <c r="A17" s="14" t="s">
        <v>25</v>
      </c>
      <c r="B17" s="15">
        <v>8</v>
      </c>
      <c r="C17" s="5" t="s">
        <v>26</v>
      </c>
      <c r="D17" s="5"/>
      <c r="E17" s="5"/>
      <c r="F17" s="5"/>
    </row>
    <row r="18" spans="1:7" ht="36" customHeight="1" x14ac:dyDescent="0.3">
      <c r="A18" s="14" t="s">
        <v>27</v>
      </c>
      <c r="B18" s="15">
        <v>60</v>
      </c>
      <c r="C18" s="5" t="s">
        <v>28</v>
      </c>
      <c r="D18" s="5"/>
      <c r="E18" s="5"/>
      <c r="F18" s="5"/>
    </row>
    <row r="19" spans="1:7" ht="36" customHeight="1" x14ac:dyDescent="0.3">
      <c r="A19" s="14" t="s">
        <v>29</v>
      </c>
      <c r="B19" s="15">
        <v>25000</v>
      </c>
      <c r="C19" s="5" t="s">
        <v>30</v>
      </c>
      <c r="D19" s="5"/>
      <c r="E19" s="5"/>
      <c r="F19" s="5"/>
    </row>
    <row r="20" spans="1:7" ht="36" customHeight="1" x14ac:dyDescent="0.3">
      <c r="A20" s="14" t="s">
        <v>31</v>
      </c>
      <c r="B20" s="18">
        <v>0.2</v>
      </c>
      <c r="C20" s="5" t="s">
        <v>32</v>
      </c>
      <c r="D20" s="5"/>
      <c r="E20" s="5"/>
      <c r="F20" s="5"/>
    </row>
    <row r="21" spans="1:7" ht="36" customHeight="1" x14ac:dyDescent="0.3">
      <c r="A21" s="14" t="s">
        <v>33</v>
      </c>
      <c r="B21" s="19">
        <v>96</v>
      </c>
      <c r="C21" s="5" t="s">
        <v>34</v>
      </c>
      <c r="D21" s="5"/>
      <c r="E21" s="5"/>
      <c r="F21" s="5"/>
    </row>
    <row r="23" spans="1:7" ht="21.75" customHeight="1" x14ac:dyDescent="0.3">
      <c r="A23" s="8" t="s">
        <v>35</v>
      </c>
      <c r="B23" s="8"/>
      <c r="C23" s="8"/>
      <c r="D23" s="8"/>
      <c r="E23" s="8"/>
      <c r="F23" s="8"/>
    </row>
    <row r="24" spans="1:7" ht="36" customHeight="1" x14ac:dyDescent="0.3">
      <c r="A24" s="4" t="s">
        <v>36</v>
      </c>
      <c r="B24" s="4"/>
      <c r="C24" s="4"/>
      <c r="D24" s="4"/>
      <c r="E24" s="4"/>
      <c r="F24" s="4"/>
    </row>
    <row r="25" spans="1:7" ht="15" customHeight="1" x14ac:dyDescent="0.3">
      <c r="A25" s="13" t="s">
        <v>37</v>
      </c>
      <c r="B25" s="13" t="s">
        <v>38</v>
      </c>
      <c r="C25" s="6" t="s">
        <v>39</v>
      </c>
      <c r="D25" s="6"/>
      <c r="E25" s="6"/>
      <c r="F25" s="13" t="s">
        <v>40</v>
      </c>
    </row>
    <row r="26" spans="1:7" ht="27.75" customHeight="1" x14ac:dyDescent="0.3">
      <c r="A26" s="20" t="s">
        <v>41</v>
      </c>
      <c r="B26" s="21" t="s">
        <v>42</v>
      </c>
      <c r="C26" s="3" t="str">
        <f>B13&amp;" × "&amp;TEXT(B15,"0%")</f>
        <v>3000 × 30%</v>
      </c>
      <c r="D26" s="3"/>
      <c r="E26" s="3"/>
      <c r="F26" s="22">
        <f>B13*B15</f>
        <v>900</v>
      </c>
    </row>
    <row r="27" spans="1:7" ht="27.75" customHeight="1" x14ac:dyDescent="0.3">
      <c r="A27" s="20" t="s">
        <v>43</v>
      </c>
      <c r="B27" s="21" t="s">
        <v>44</v>
      </c>
      <c r="C27" s="3" t="str">
        <f>B14&amp;" × "&amp;TEXT(B16,"0%")</f>
        <v>2000 × 70%</v>
      </c>
      <c r="D27" s="3"/>
      <c r="E27" s="3"/>
      <c r="F27" s="22">
        <f>B14*B16</f>
        <v>1400</v>
      </c>
    </row>
    <row r="28" spans="1:7" ht="27.75" customHeight="1" x14ac:dyDescent="0.3">
      <c r="A28" s="20" t="s">
        <v>45</v>
      </c>
      <c r="B28" s="21" t="s">
        <v>46</v>
      </c>
      <c r="C28" s="3" t="str">
        <f>TEXT(B13*B15,"#,##0")&amp;" × "&amp;B17</f>
        <v>900 × 8</v>
      </c>
      <c r="D28" s="3"/>
      <c r="E28" s="3"/>
      <c r="F28" s="22">
        <f>B13*B15*B17</f>
        <v>7200</v>
      </c>
    </row>
    <row r="29" spans="1:7" ht="27.75" customHeight="1" x14ac:dyDescent="0.3">
      <c r="A29" s="20" t="s">
        <v>47</v>
      </c>
      <c r="B29" s="21" t="s">
        <v>48</v>
      </c>
      <c r="C29" s="3" t="str">
        <f>TEXT(B14*B16,"#,##0")&amp;" × "&amp;B18</f>
        <v>1,400 × 60</v>
      </c>
      <c r="D29" s="3"/>
      <c r="E29" s="3"/>
      <c r="F29" s="22">
        <f>B14*B16*B18</f>
        <v>84000</v>
      </c>
    </row>
    <row r="30" spans="1:7" ht="27.75" customHeight="1" x14ac:dyDescent="0.3">
      <c r="A30" s="20" t="s">
        <v>49</v>
      </c>
      <c r="B30" s="21" t="s">
        <v>50</v>
      </c>
      <c r="C30" s="3" t="str">
        <f>"(see steps 3 + 4)"</f>
        <v>(see steps 3 + 4)</v>
      </c>
      <c r="D30" s="3"/>
      <c r="E30" s="3"/>
      <c r="F30" s="22">
        <f>B13*B15*B17+B14*B16*B18</f>
        <v>91200</v>
      </c>
    </row>
    <row r="31" spans="1:7" ht="27.75" customHeight="1" x14ac:dyDescent="0.3">
      <c r="A31" s="20" t="s">
        <v>51</v>
      </c>
      <c r="B31" s="21" t="s">
        <v>52</v>
      </c>
      <c r="C31" s="3" t="str">
        <f>TEXT(B13*B15*B17+B14*B16*B18,"#,##0")&amp;" × "&amp;TEXT(B19,"#,##0")</f>
        <v>91,200 × 25,000</v>
      </c>
      <c r="D31" s="3"/>
      <c r="E31" s="3"/>
      <c r="F31" s="22">
        <f>(B13*B15*B17+B14*B16*B18)*B19</f>
        <v>2280000000</v>
      </c>
      <c r="G31">
        <f>F31/1000000</f>
        <v>2280</v>
      </c>
    </row>
    <row r="32" spans="1:7" ht="27.75" customHeight="1" x14ac:dyDescent="0.3">
      <c r="A32" s="20" t="s">
        <v>53</v>
      </c>
      <c r="B32" s="21" t="s">
        <v>54</v>
      </c>
      <c r="C32" s="3" t="str">
        <f>"$"&amp;B20&amp;" × ₹"&amp;B21</f>
        <v>$0.2 × ₹96</v>
      </c>
      <c r="D32" s="3"/>
      <c r="E32" s="3"/>
      <c r="F32" s="23">
        <f>B20*B21</f>
        <v>19.200000000000003</v>
      </c>
    </row>
    <row r="33" spans="1:6" ht="27.75" customHeight="1" x14ac:dyDescent="0.3">
      <c r="A33" s="20" t="s">
        <v>55</v>
      </c>
      <c r="B33" s="21" t="s">
        <v>56</v>
      </c>
      <c r="C33" s="3" t="str">
        <f>"(steps 6 ÷ 1M) × step 7"</f>
        <v>(steps 6 ÷ 1M) × step 7</v>
      </c>
      <c r="D33" s="3"/>
      <c r="E33" s="3"/>
      <c r="F33" s="24">
        <f>((B13*B15*B17+B14*B16*B18)*B19)/1000000*B20*B21</f>
        <v>43776</v>
      </c>
    </row>
    <row r="35" spans="1:6" ht="21.75" customHeight="1" x14ac:dyDescent="0.3">
      <c r="A35" s="8" t="s">
        <v>57</v>
      </c>
      <c r="B35" s="8"/>
      <c r="C35" s="8"/>
      <c r="D35" s="8"/>
      <c r="E35" s="8"/>
      <c r="F35" s="8"/>
    </row>
    <row r="36" spans="1:6" ht="36" customHeight="1" x14ac:dyDescent="0.3">
      <c r="A36" s="4" t="s">
        <v>58</v>
      </c>
      <c r="B36" s="4"/>
      <c r="C36" s="4"/>
      <c r="D36" s="4"/>
      <c r="E36" s="4"/>
      <c r="F36" s="4"/>
    </row>
    <row r="37" spans="1:6" ht="15" customHeight="1" x14ac:dyDescent="0.3">
      <c r="A37" s="13" t="s">
        <v>59</v>
      </c>
      <c r="B37" s="13" t="s">
        <v>60</v>
      </c>
      <c r="C37" s="13" t="s">
        <v>61</v>
      </c>
      <c r="D37" s="6" t="s">
        <v>62</v>
      </c>
      <c r="E37" s="6"/>
      <c r="F37" s="6"/>
    </row>
    <row r="38" spans="1:6" ht="54.75" customHeight="1" x14ac:dyDescent="0.3">
      <c r="A38" s="25" t="s">
        <v>63</v>
      </c>
      <c r="B38" s="12" t="s">
        <v>64</v>
      </c>
      <c r="C38" s="22">
        <v>40000</v>
      </c>
      <c r="D38" s="2">
        <f>40000/1000000*B20*B21</f>
        <v>0.76800000000000002</v>
      </c>
      <c r="E38" s="2"/>
      <c r="F38" s="2"/>
    </row>
    <row r="39" spans="1:6" ht="54.75" customHeight="1" x14ac:dyDescent="0.3">
      <c r="A39" s="25" t="s">
        <v>65</v>
      </c>
      <c r="B39" s="12" t="s">
        <v>66</v>
      </c>
      <c r="C39" s="22">
        <v>3000</v>
      </c>
      <c r="D39" s="2">
        <f>3000/1000000*B20*B21</f>
        <v>5.7600000000000005E-2</v>
      </c>
      <c r="E39" s="2"/>
      <c r="F39" s="2"/>
    </row>
    <row r="40" spans="1:6" ht="54.75" customHeight="1" x14ac:dyDescent="0.3">
      <c r="A40" s="25" t="s">
        <v>67</v>
      </c>
      <c r="B40" s="12" t="s">
        <v>68</v>
      </c>
      <c r="C40" s="22">
        <v>2000</v>
      </c>
      <c r="D40" s="2">
        <f>2000/1000000*B20*B21</f>
        <v>3.8400000000000004E-2</v>
      </c>
      <c r="E40" s="2"/>
      <c r="F40" s="2"/>
    </row>
    <row r="41" spans="1:6" ht="54.75" customHeight="1" x14ac:dyDescent="0.3">
      <c r="A41" s="25" t="s">
        <v>69</v>
      </c>
      <c r="B41" s="12" t="s">
        <v>70</v>
      </c>
      <c r="C41" s="22">
        <v>5000</v>
      </c>
      <c r="D41" s="2">
        <f>5000/1000000*B20*B21</f>
        <v>9.6000000000000002E-2</v>
      </c>
      <c r="E41" s="2"/>
      <c r="F41" s="2"/>
    </row>
    <row r="42" spans="1:6" ht="54.75" customHeight="1" x14ac:dyDescent="0.3">
      <c r="A42" s="25" t="s">
        <v>71</v>
      </c>
      <c r="B42" s="12" t="s">
        <v>72</v>
      </c>
      <c r="C42" s="22">
        <v>80000</v>
      </c>
      <c r="D42" s="2">
        <f>80000/1000000*B20*B21</f>
        <v>1.536</v>
      </c>
      <c r="E42" s="2"/>
      <c r="F42" s="2"/>
    </row>
    <row r="43" spans="1:6" ht="54.75" customHeight="1" x14ac:dyDescent="0.3">
      <c r="A43" s="25" t="s">
        <v>73</v>
      </c>
      <c r="B43" s="12" t="s">
        <v>74</v>
      </c>
      <c r="C43" s="22">
        <v>6000</v>
      </c>
      <c r="D43" s="2">
        <f>6000/1000000*B20*B21</f>
        <v>0.11520000000000001</v>
      </c>
      <c r="E43" s="2"/>
      <c r="F43" s="2"/>
    </row>
    <row r="44" spans="1:6" ht="54.75" customHeight="1" x14ac:dyDescent="0.3">
      <c r="A44" s="25" t="s">
        <v>75</v>
      </c>
      <c r="B44" s="12" t="s">
        <v>76</v>
      </c>
      <c r="C44" s="22">
        <v>30000</v>
      </c>
      <c r="D44" s="2">
        <f>30000/1000000*B20*B21</f>
        <v>0.57600000000000007</v>
      </c>
      <c r="E44" s="2"/>
      <c r="F44" s="2"/>
    </row>
    <row r="45" spans="1:6" ht="54.75" customHeight="1" x14ac:dyDescent="0.3">
      <c r="A45" s="25" t="s">
        <v>77</v>
      </c>
      <c r="B45" s="12" t="s">
        <v>78</v>
      </c>
      <c r="C45" s="22">
        <v>5000</v>
      </c>
      <c r="D45" s="2">
        <f>5000/1000000*B20*B21</f>
        <v>9.6000000000000002E-2</v>
      </c>
      <c r="E45" s="2"/>
      <c r="F45" s="2"/>
    </row>
    <row r="47" spans="1:6" ht="21.75" customHeight="1" x14ac:dyDescent="0.3">
      <c r="A47" s="8" t="s">
        <v>79</v>
      </c>
      <c r="B47" s="8"/>
      <c r="C47" s="8"/>
      <c r="D47" s="8"/>
      <c r="E47" s="8"/>
      <c r="F47" s="8"/>
    </row>
    <row r="48" spans="1:6" x14ac:dyDescent="0.3">
      <c r="A48" s="26" t="s">
        <v>80</v>
      </c>
      <c r="B48" s="26" t="s">
        <v>81</v>
      </c>
      <c r="C48" s="26" t="s">
        <v>82</v>
      </c>
      <c r="D48" s="26" t="s">
        <v>83</v>
      </c>
      <c r="E48" s="26" t="s">
        <v>84</v>
      </c>
      <c r="F48" s="26" t="s">
        <v>85</v>
      </c>
    </row>
    <row r="49" spans="1:7" ht="60" customHeight="1" x14ac:dyDescent="0.3">
      <c r="A49" s="27">
        <v>1</v>
      </c>
      <c r="B49" s="25" t="s">
        <v>86</v>
      </c>
      <c r="C49" s="25" t="s">
        <v>87</v>
      </c>
      <c r="D49" s="28">
        <f>20*B21</f>
        <v>1920</v>
      </c>
      <c r="E49" s="25" t="s">
        <v>88</v>
      </c>
      <c r="F49" s="25" t="s">
        <v>89</v>
      </c>
    </row>
    <row r="50" spans="1:7" ht="60" customHeight="1" x14ac:dyDescent="0.3">
      <c r="A50" s="27">
        <v>2</v>
      </c>
      <c r="B50" s="25" t="s">
        <v>90</v>
      </c>
      <c r="C50" s="25" t="s">
        <v>91</v>
      </c>
      <c r="D50" s="28">
        <f>25*B21</f>
        <v>2400</v>
      </c>
      <c r="E50" s="25" t="s">
        <v>92</v>
      </c>
      <c r="F50" s="25" t="s">
        <v>93</v>
      </c>
    </row>
    <row r="51" spans="1:7" ht="60" customHeight="1" x14ac:dyDescent="0.3">
      <c r="A51" s="27">
        <v>3</v>
      </c>
      <c r="B51" s="25" t="s">
        <v>94</v>
      </c>
      <c r="C51" s="25" t="s">
        <v>95</v>
      </c>
      <c r="D51" s="28">
        <f>20*B21</f>
        <v>1920</v>
      </c>
      <c r="E51" s="25" t="s">
        <v>88</v>
      </c>
      <c r="F51" s="25" t="s">
        <v>96</v>
      </c>
    </row>
    <row r="52" spans="1:7" ht="60" customHeight="1" x14ac:dyDescent="0.3">
      <c r="A52" s="27">
        <v>4</v>
      </c>
      <c r="B52" s="25" t="s">
        <v>97</v>
      </c>
      <c r="C52" s="25" t="s">
        <v>98</v>
      </c>
      <c r="D52" s="36">
        <f>F33</f>
        <v>43776</v>
      </c>
      <c r="E52" s="25" t="s">
        <v>99</v>
      </c>
      <c r="F52" s="25" t="s">
        <v>100</v>
      </c>
      <c r="G52" s="42" t="s">
        <v>140</v>
      </c>
    </row>
    <row r="53" spans="1:7" ht="60" customHeight="1" x14ac:dyDescent="0.3">
      <c r="A53" s="27">
        <v>5</v>
      </c>
      <c r="B53" s="25" t="s">
        <v>101</v>
      </c>
      <c r="C53" s="25" t="s">
        <v>102</v>
      </c>
      <c r="D53" s="28">
        <v>100</v>
      </c>
      <c r="E53" s="25" t="s">
        <v>103</v>
      </c>
      <c r="F53" s="25" t="s">
        <v>104</v>
      </c>
    </row>
    <row r="54" spans="1:7" ht="60" customHeight="1" x14ac:dyDescent="0.3">
      <c r="A54" s="27">
        <v>6</v>
      </c>
      <c r="B54" s="25" t="s">
        <v>105</v>
      </c>
      <c r="C54" s="25" t="s">
        <v>106</v>
      </c>
      <c r="D54" s="28"/>
      <c r="E54" s="25" t="s">
        <v>107</v>
      </c>
      <c r="F54" s="25" t="s">
        <v>108</v>
      </c>
    </row>
    <row r="55" spans="1:7" ht="60" customHeight="1" x14ac:dyDescent="0.3">
      <c r="A55" s="27">
        <v>7</v>
      </c>
      <c r="B55" s="25" t="s">
        <v>109</v>
      </c>
      <c r="C55" s="25" t="s">
        <v>110</v>
      </c>
      <c r="D55" s="28">
        <v>500</v>
      </c>
      <c r="E55" s="25" t="s">
        <v>111</v>
      </c>
      <c r="F55" s="25" t="s">
        <v>112</v>
      </c>
    </row>
    <row r="56" spans="1:7" ht="60" customHeight="1" x14ac:dyDescent="0.3">
      <c r="A56" s="27">
        <v>8</v>
      </c>
      <c r="B56" s="25" t="s">
        <v>113</v>
      </c>
      <c r="C56" s="25" t="s">
        <v>114</v>
      </c>
      <c r="D56" s="28">
        <v>2500</v>
      </c>
      <c r="E56" s="25" t="s">
        <v>99</v>
      </c>
      <c r="F56" s="25" t="s">
        <v>115</v>
      </c>
    </row>
    <row r="58" spans="1:7" ht="22.8" x14ac:dyDescent="0.3">
      <c r="C58" s="29" t="s">
        <v>116</v>
      </c>
      <c r="D58" s="30">
        <f>SUM(D49:D56)</f>
        <v>53116</v>
      </c>
      <c r="E58" s="31"/>
      <c r="F58" s="16" t="s">
        <v>117</v>
      </c>
    </row>
    <row r="59" spans="1:7" ht="22.8" x14ac:dyDescent="0.3">
      <c r="C59" s="32" t="s">
        <v>118</v>
      </c>
      <c r="D59" s="33">
        <f>D58*12</f>
        <v>637392</v>
      </c>
      <c r="E59" s="34"/>
      <c r="F59" s="16" t="s">
        <v>119</v>
      </c>
    </row>
    <row r="60" spans="1:7" ht="15.6" x14ac:dyDescent="0.3">
      <c r="C60" s="37"/>
      <c r="D60" s="38"/>
      <c r="E60" s="39"/>
      <c r="F60" s="40"/>
    </row>
    <row r="61" spans="1:7" ht="15.6" x14ac:dyDescent="0.3">
      <c r="C61" t="s">
        <v>139</v>
      </c>
      <c r="D61" s="30">
        <f>2000*59</f>
        <v>118000</v>
      </c>
      <c r="F61" s="41" t="s">
        <v>141</v>
      </c>
    </row>
    <row r="62" spans="1:7" ht="21.75" customHeight="1" x14ac:dyDescent="0.3">
      <c r="A62" s="8" t="s">
        <v>120</v>
      </c>
      <c r="B62" s="8"/>
      <c r="C62" s="8"/>
      <c r="D62" s="8"/>
      <c r="E62" s="8"/>
      <c r="F62" s="8"/>
    </row>
    <row r="63" spans="1:7" ht="26.4" x14ac:dyDescent="0.3">
      <c r="A63" s="13" t="s">
        <v>121</v>
      </c>
      <c r="B63" s="13" t="s">
        <v>122</v>
      </c>
      <c r="C63" s="13" t="s">
        <v>123</v>
      </c>
      <c r="D63" s="13" t="s">
        <v>124</v>
      </c>
      <c r="E63" s="13" t="s">
        <v>125</v>
      </c>
      <c r="F63" s="13" t="s">
        <v>126</v>
      </c>
    </row>
    <row r="64" spans="1:7" ht="36" customHeight="1" x14ac:dyDescent="0.3">
      <c r="A64" s="25" t="s">
        <v>127</v>
      </c>
      <c r="B64" s="22">
        <v>900</v>
      </c>
      <c r="C64" s="22">
        <v>1400</v>
      </c>
      <c r="D64" s="22">
        <v>25</v>
      </c>
      <c r="E64" s="22">
        <f>(900*8+1400*25)*25000</f>
        <v>1055000000</v>
      </c>
      <c r="F64" s="24">
        <f>(900*8+1400*25)*25000/1000000*B20*B21</f>
        <v>20256</v>
      </c>
    </row>
    <row r="65" spans="1:6" ht="36" customHeight="1" x14ac:dyDescent="0.3">
      <c r="A65" s="25" t="s">
        <v>128</v>
      </c>
      <c r="B65" s="22">
        <v>900</v>
      </c>
      <c r="C65" s="22">
        <v>1400</v>
      </c>
      <c r="D65" s="22">
        <v>60</v>
      </c>
      <c r="E65" s="35">
        <f>(900*8+1400*50)*25000</f>
        <v>1930000000</v>
      </c>
      <c r="F65" s="24">
        <f>(900*8+1400*50)*25000/1000000*B20*B21</f>
        <v>37056</v>
      </c>
    </row>
    <row r="66" spans="1:6" ht="36" customHeight="1" x14ac:dyDescent="0.3">
      <c r="A66" s="25" t="s">
        <v>129</v>
      </c>
      <c r="B66" s="22">
        <v>4050</v>
      </c>
      <c r="C66" s="22">
        <v>1050</v>
      </c>
      <c r="D66" s="22">
        <v>25</v>
      </c>
      <c r="E66" s="22">
        <f>(4050*8+1050*25)*25000</f>
        <v>1466250000</v>
      </c>
      <c r="F66" s="24">
        <f>(4050*8+1050*25)*25000/1000000*B20*B21</f>
        <v>28152</v>
      </c>
    </row>
    <row r="67" spans="1:6" ht="36" customHeight="1" x14ac:dyDescent="0.3">
      <c r="A67" s="25" t="s">
        <v>130</v>
      </c>
      <c r="B67" s="22">
        <v>13500</v>
      </c>
      <c r="C67" s="22">
        <v>7000</v>
      </c>
      <c r="D67" s="22">
        <v>25</v>
      </c>
      <c r="E67" s="22">
        <f>(13500*8+7000*25)*25000</f>
        <v>7075000000</v>
      </c>
      <c r="F67" s="24">
        <f>(13500*8+7000*25)*25000/1000000*B20*B21</f>
        <v>135840</v>
      </c>
    </row>
    <row r="68" spans="1:6" ht="36" customHeight="1" x14ac:dyDescent="0.3">
      <c r="A68" s="25" t="s">
        <v>131</v>
      </c>
      <c r="B68" s="22">
        <v>900</v>
      </c>
      <c r="C68" s="22">
        <v>1400</v>
      </c>
      <c r="D68" s="22">
        <v>25</v>
      </c>
      <c r="E68" s="22">
        <f>(900*8+1400*25)*40000</f>
        <v>1688000000</v>
      </c>
      <c r="F68" s="24">
        <f>(900*8+1400*25)*40000/1000000*B20*B21</f>
        <v>32409.600000000002</v>
      </c>
    </row>
    <row r="70" spans="1:6" ht="21.75" customHeight="1" x14ac:dyDescent="0.3">
      <c r="A70" s="8" t="s">
        <v>132</v>
      </c>
      <c r="B70" s="8"/>
      <c r="C70" s="8"/>
      <c r="D70" s="8"/>
      <c r="E70" s="8"/>
      <c r="F70" s="8"/>
    </row>
    <row r="71" spans="1:6" ht="36" customHeight="1" x14ac:dyDescent="0.3">
      <c r="A71" s="1" t="s">
        <v>133</v>
      </c>
      <c r="B71" s="1"/>
      <c r="C71" s="1"/>
      <c r="D71" s="1"/>
      <c r="E71" s="1"/>
      <c r="F71" s="1"/>
    </row>
    <row r="72" spans="1:6" ht="36" customHeight="1" x14ac:dyDescent="0.3">
      <c r="A72" s="1" t="s">
        <v>134</v>
      </c>
      <c r="B72" s="1"/>
      <c r="C72" s="1"/>
      <c r="D72" s="1"/>
      <c r="E72" s="1"/>
      <c r="F72" s="1"/>
    </row>
    <row r="73" spans="1:6" ht="36" customHeight="1" x14ac:dyDescent="0.3">
      <c r="A73" s="1" t="s">
        <v>135</v>
      </c>
      <c r="B73" s="1"/>
      <c r="C73" s="1"/>
      <c r="D73" s="1"/>
      <c r="E73" s="1"/>
      <c r="F73" s="1"/>
    </row>
    <row r="74" spans="1:6" ht="36" customHeight="1" x14ac:dyDescent="0.3">
      <c r="A74" s="1" t="s">
        <v>136</v>
      </c>
      <c r="B74" s="1"/>
      <c r="C74" s="1"/>
      <c r="D74" s="1"/>
      <c r="E74" s="1"/>
      <c r="F74" s="1"/>
    </row>
    <row r="75" spans="1:6" ht="36" customHeight="1" x14ac:dyDescent="0.3">
      <c r="A75" s="1" t="s">
        <v>137</v>
      </c>
      <c r="B75" s="1"/>
      <c r="C75" s="1"/>
      <c r="D75" s="1"/>
      <c r="E75" s="1"/>
      <c r="F75" s="1"/>
    </row>
    <row r="76" spans="1:6" ht="36" customHeight="1" x14ac:dyDescent="0.3">
      <c r="A76" s="1" t="s">
        <v>138</v>
      </c>
      <c r="B76" s="1"/>
      <c r="C76" s="1"/>
      <c r="D76" s="1"/>
      <c r="E76" s="1"/>
      <c r="F76" s="1"/>
    </row>
  </sheetData>
  <mergeCells count="50">
    <mergeCell ref="A72:F72"/>
    <mergeCell ref="A73:F73"/>
    <mergeCell ref="A74:F74"/>
    <mergeCell ref="A75:F75"/>
    <mergeCell ref="A76:F76"/>
    <mergeCell ref="D45:F45"/>
    <mergeCell ref="A47:F47"/>
    <mergeCell ref="A62:F62"/>
    <mergeCell ref="A70:F70"/>
    <mergeCell ref="A71:F71"/>
    <mergeCell ref="D40:F40"/>
    <mergeCell ref="D41:F41"/>
    <mergeCell ref="D42:F42"/>
    <mergeCell ref="D43:F43"/>
    <mergeCell ref="D44:F44"/>
    <mergeCell ref="A35:F35"/>
    <mergeCell ref="A36:F36"/>
    <mergeCell ref="D37:F37"/>
    <mergeCell ref="D38:F38"/>
    <mergeCell ref="D39:F39"/>
    <mergeCell ref="C29:E29"/>
    <mergeCell ref="C30:E30"/>
    <mergeCell ref="C31:E31"/>
    <mergeCell ref="C32:E32"/>
    <mergeCell ref="C33:E33"/>
    <mergeCell ref="A24:F24"/>
    <mergeCell ref="C25:E25"/>
    <mergeCell ref="C26:E26"/>
    <mergeCell ref="C27:E27"/>
    <mergeCell ref="C28:E28"/>
    <mergeCell ref="C18:F18"/>
    <mergeCell ref="C19:F19"/>
    <mergeCell ref="C20:F20"/>
    <mergeCell ref="C21:F21"/>
    <mergeCell ref="A23:F23"/>
    <mergeCell ref="C13:F13"/>
    <mergeCell ref="C14:F14"/>
    <mergeCell ref="C15:F15"/>
    <mergeCell ref="C16:F16"/>
    <mergeCell ref="C17:F17"/>
    <mergeCell ref="B7:F7"/>
    <mergeCell ref="B8:F8"/>
    <mergeCell ref="B9:F9"/>
    <mergeCell ref="A11:F11"/>
    <mergeCell ref="C12:F12"/>
    <mergeCell ref="A1:F1"/>
    <mergeCell ref="A2:F2"/>
    <mergeCell ref="A4:F4"/>
    <mergeCell ref="B5:F5"/>
    <mergeCell ref="B6:F6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BloomIQ Tech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Vipin M</cp:lastModifiedBy>
  <cp:revision>0</cp:revision>
  <dcterms:created xsi:type="dcterms:W3CDTF">2026-05-13T10:30:36Z</dcterms:created>
  <dcterms:modified xsi:type="dcterms:W3CDTF">2026-05-13T11:14:47Z</dcterms:modified>
  <dc:language>en-US</dc:language>
</cp:coreProperties>
</file>