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omIQ Tech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<sst xmlns="http://schemas.openxmlformats.org/spreadsheetml/2006/main" count="66" uniqueCount="64">
  <si>
    <t xml:space="preserve">BloomIQ — Technical infrastructure cost plan</t>
  </si>
  <si>
    <t xml:space="preserve">Month-1 launch scenario: 3,000 free + 2,000 paid users · Next.js 16 on Vercel · Supabase backend · Gemini 2.0 Flash for LLM</t>
  </si>
  <si>
    <t xml:space="preserve">Assumptions (yellow cells are inputs — change to re-run the model)</t>
  </si>
  <si>
    <t xml:space="preserve">Free users (month 1)</t>
  </si>
  <si>
    <t xml:space="preserve">Paid users (month 1)</t>
  </si>
  <si>
    <t xml:space="preserve">Free-user weekly-active ratio</t>
  </si>
  <si>
    <t xml:space="preserve">Paid-user weekly-active ratio</t>
  </si>
  <si>
    <t xml:space="preserve">AI actions/month per active FREE user</t>
  </si>
  <si>
    <t xml:space="preserve">AI actions/month per active PAID user</t>
  </si>
  <si>
    <t xml:space="preserve">Avg tokens per AI action</t>
  </si>
  <si>
    <t xml:space="preserve">Gemini Flash cost per 1M tokens (USD)</t>
  </si>
  <si>
    <t xml:space="preserve">USD → INR</t>
  </si>
  <si>
    <t xml:space="preserve">→ Active users (free + paid)</t>
  </si>
  <si>
    <t xml:space="preserve">→ Monthly AI actions</t>
  </si>
  <si>
    <t xml:space="preserve">→ Monthly LLM tokens</t>
  </si>
  <si>
    <t xml:space="preserve">→ Implied Gemini Flash cost / month (INR)</t>
  </si>
  <si>
    <t xml:space="preserve">#</t>
  </si>
  <si>
    <t xml:space="preserve">Line item</t>
  </si>
  <si>
    <t xml:space="preserve">Provider</t>
  </si>
  <si>
    <t xml:space="preserve">Monthly (INR)</t>
  </si>
  <si>
    <t xml:space="preserve">Setup type</t>
  </si>
  <si>
    <t xml:space="preserve">Why this price</t>
  </si>
  <si>
    <t xml:space="preserve">Hosting (Next.js app + serverless functions)</t>
  </si>
  <si>
    <t xml:space="preserve">Vercel Pro</t>
  </si>
  <si>
    <t xml:space="preserve">Flat $20/mo</t>
  </si>
  <si>
    <t xml:space="preserve">Pro tier is needed for 30–60s function timeouts that /api/generate, /api/xray/analyze and /api/papers/generate require. Includes 1TB bandwidth and 100K function calls — well above 5K-user launch traffic. Team analytics + longer builds included.</t>
  </si>
  <si>
    <t xml:space="preserve">Database + Auth + Storage (Postgres + RLS)</t>
  </si>
  <si>
    <t xml:space="preserve">Supabase Pro</t>
  </si>
  <si>
    <t xml:space="preserve">Flat $25/mo</t>
  </si>
  <si>
    <t xml:space="preserve">Pro = 8GB DB, 100GB egress, 100K MAUs, daily backups, 7-day point-in-time recovery, no auto-pause. Free tier pauses inactive projects after 7 days — unacceptable with paying users.</t>
  </si>
  <si>
    <t xml:space="preserve">Transactional email (signup, reset, notifications)</t>
  </si>
  <si>
    <t xml:space="preserve">Resend Pro</t>
  </si>
  <si>
    <t xml:space="preserve">5K signups + ongoing notifications will exceed Resend's 3K-email free tier within month 1. Pro = $20/mo, 50K emails. Magic-link reliability matters for school-admin onboarding.</t>
  </si>
  <si>
    <t xml:space="preserve">LLM inference (question gen, tutor, recommendations, coaches)</t>
  </si>
  <si>
    <t xml:space="preserve">Gemini 2.0 Flash via API</t>
  </si>
  <si>
    <t xml:space="preserve">Usage-based</t>
  </si>
  <si>
    <t xml:space="preserve">Computed from the assumption block above. Existing rate limits in lib/rateLimit.ts and lib/freeQuota.ts hard-cap exposure so a runaway user can't blow this line. ~3-5× cheaper than Groq on the same workload.</t>
  </si>
  <si>
    <t xml:space="preserve">Domain name (.com / .in)</t>
  </si>
  <si>
    <t xml:space="preserve">Namecheap / GoDaddy</t>
  </si>
  <si>
    <t xml:space="preserve">₹1,200–1,800/yr</t>
  </si>
  <si>
    <t xml:space="preserve">Amortised monthly. Includes WHOIS privacy. SSL is free via Vercel / Let's Encrypt — no separate line needed.</t>
  </si>
  <si>
    <t xml:space="preserve">Error tracking &amp; performance monitoring</t>
  </si>
  <si>
    <t xml:space="preserve">Sentry (free tier)</t>
  </si>
  <si>
    <t xml:space="preserve">Free tier</t>
  </si>
  <si>
    <t xml:space="preserve">5K errors/mo + 10K performance events. A well-behaved app at 5K users will be under cap. Move to Team (~$26/mo) only if error volume crosses 3K/mo or you need &gt;30 days retention.</t>
  </si>
  <si>
    <t xml:space="preserve">Off-site database backups</t>
  </si>
  <si>
    <t xml:space="preserve">Weekly pg_dump → AWS S3 Glacier</t>
  </si>
  <si>
    <t xml:space="preserve">Cheap supplement</t>
  </si>
  <si>
    <t xml:space="preserve">Supabase Pro already covers daily backups + PITR. The S3 line is paranoia-grade — a weekly dump shipped to Glacier costs pennies and protects school customer data against Supabase-side incidents.</t>
  </si>
  <si>
    <t xml:space="preserve">Image / video generation (Concept Visualizer)</t>
  </si>
  <si>
    <t xml:space="preserve">Gemini Imagen / Veo via API</t>
  </si>
  <si>
    <t xml:space="preserve">Gated to Premium Plus + rate-limited. Pay-per-image (~$0.03–0.04). Budget assumes modest adoption among the 2K paid users; will scale linearly if marketed harder.</t>
  </si>
  <si>
    <t xml:space="preserve">TOTAL MONTHLY</t>
  </si>
  <si>
    <t xml:space="preserve">Excludes payment processing (Razorpay, ~2% of revenue) and all legal/trademark/insurance costs.</t>
  </si>
  <si>
    <t xml:space="preserve">ANNUAL (12 × monthly)</t>
  </si>
  <si>
    <t xml:space="preserve">Flat run-rate — assumes user count holds steady at 5K. Will grow with active-user count, mainly via the LLM line.</t>
  </si>
  <si>
    <t xml:space="preserve">Notes for the team</t>
  </si>
  <si>
    <t xml:space="preserve">1.  All $-based lines (Vercel, Supabase, Resend, Gemini) recompute automatically if you change the USD→INR cell B13.</t>
  </si>
  <si>
    <t xml:space="preserve">2.  The LLM line is the only volume-sensitive item — change the active-user / actions assumptions in cells B5–B11 to model heavier or lighter usage.</t>
  </si>
  <si>
    <t xml:space="preserve">3.  Existing rate limits (lib/rateLimit.ts + lib/freeQuota.ts) cap how much any single user can spend, so the LLM line has a hard ceiling.</t>
  </si>
  <si>
    <t xml:space="preserve">4.  Sentry and Resend will need paid upgrades once volume crosses their free tiers (~3K emails, ~5K errors per month). Both quoted at Pro tier already in this sheet.</t>
  </si>
  <si>
    <t xml:space="preserve">5.  Domain renews annually (~₹1,200–1,800); listed amortised monthly here.</t>
  </si>
  <si>
    <t xml:space="preserve">6.  Off-site S3 backup is optional but recommended once school customers exist — protects against vendor-side incidents.</t>
  </si>
  <si>
    <t xml:space="preserve">7.  Image-generation budget is a soft cap; remove if you delay launching Concept Visualizer publicly.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</si>
</sst>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\$0.000"/>
    <numFmt numFmtId="168" formatCode="\₹#,##0"/>
    <numFmt numFmtId="169" formatCode="\₹#,##0;&quot;(₹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n">
        <v>3000</v>
      </c>
    </row>
    <row r="6" customFormat="false" ht="15" hidden="false" customHeight="false" outlineLevel="0" collapsed="false">
      <c r="A6" s="4" t="s">
        <v>4</v>
      </c>
      <c r="B6" s="5" t="n">
        <v>2000</v>
      </c>
    </row>
    <row r="7" customFormat="false" ht="15" hidden="false" customHeight="false" outlineLevel="0" collapsed="false">
      <c r="A7" s="4" t="s">
        <v>5</v>
      </c>
      <c r="B7" s="6" t="n">
        <v>0.3</v>
      </c>
    </row>
    <row r="8" customFormat="false" ht="15" hidden="false" customHeight="false" outlineLevel="0" collapsed="false">
      <c r="A8" s="4" t="s">
        <v>6</v>
      </c>
      <c r="B8" s="6" t="n">
        <v>0.7</v>
      </c>
    </row>
    <row r="9" customFormat="false" ht="15" hidden="false" customHeight="false" outlineLevel="0" collapsed="false">
      <c r="A9" s="4" t="s">
        <v>7</v>
      </c>
      <c r="B9" s="5" t="n">
        <v>8</v>
      </c>
    </row>
    <row r="10" customFormat="false" ht="15" hidden="false" customHeight="false" outlineLevel="0" collapsed="false">
      <c r="A10" s="4" t="s">
        <v>8</v>
      </c>
      <c r="B10" s="5" t="n">
        <v>25</v>
      </c>
    </row>
    <row r="11" customFormat="false" ht="15" hidden="false" customHeight="false" outlineLevel="0" collapsed="false">
      <c r="A11" s="4" t="s">
        <v>9</v>
      </c>
      <c r="B11" s="5" t="n">
        <v>25000</v>
      </c>
    </row>
    <row r="12" customFormat="false" ht="15" hidden="false" customHeight="false" outlineLevel="0" collapsed="false">
      <c r="A12" s="4" t="s">
        <v>10</v>
      </c>
      <c r="B12" s="7" t="n">
        <v>0.2</v>
      </c>
    </row>
    <row r="13" customFormat="false" ht="15" hidden="false" customHeight="false" outlineLevel="0" collapsed="false">
      <c r="A13" s="4" t="s">
        <v>11</v>
      </c>
      <c r="B13" s="8" t="n">
        <v>96</v>
      </c>
    </row>
    <row r="15" customFormat="false" ht="15" hidden="false" customHeight="false" outlineLevel="0" collapsed="false">
      <c r="A15" s="9" t="s">
        <v>12</v>
      </c>
      <c r="B15" s="10" t="n">
        <f aca="false">B5*B7+B6*B8</f>
        <v>2300</v>
      </c>
    </row>
    <row r="16" customFormat="false" ht="15" hidden="false" customHeight="false" outlineLevel="0" collapsed="false">
      <c r="A16" s="9" t="s">
        <v>13</v>
      </c>
      <c r="B16" s="10" t="n">
        <f aca="false">B5*B7*B9+B6*B8*B10</f>
        <v>42200</v>
      </c>
    </row>
    <row r="17" customFormat="false" ht="15" hidden="false" customHeight="false" outlineLevel="0" collapsed="false">
      <c r="A17" s="9" t="s">
        <v>14</v>
      </c>
      <c r="B17" s="10" t="n">
        <f aca="false">B16*B11</f>
        <v>1055000000</v>
      </c>
    </row>
    <row r="18" customFormat="false" ht="15" hidden="false" customHeight="false" outlineLevel="0" collapsed="false">
      <c r="A18" s="9" t="s">
        <v>15</v>
      </c>
      <c r="B18" s="11" t="n">
        <f aca="false">B17/1000000*B12*B13</f>
        <v>20256</v>
      </c>
    </row>
    <row r="20" customFormat="false" ht="15" hidden="false" customHeight="false" outlineLevel="0" collapsed="false">
      <c r="A20" s="12" t="s">
        <v>16</v>
      </c>
      <c r="B20" s="12" t="s">
        <v>17</v>
      </c>
      <c r="C20" s="12" t="s">
        <v>18</v>
      </c>
      <c r="D20" s="12" t="s">
        <v>19</v>
      </c>
      <c r="E20" s="12" t="s">
        <v>20</v>
      </c>
      <c r="F20" s="12" t="s">
        <v>21</v>
      </c>
    </row>
    <row r="21" customFormat="false" ht="60" hidden="false" customHeight="true" outlineLevel="0" collapsed="false">
      <c r="A21" s="13" t="n">
        <v>1</v>
      </c>
      <c r="B21" s="14" t="s">
        <v>22</v>
      </c>
      <c r="C21" s="14" t="s">
        <v>23</v>
      </c>
      <c r="D21" s="15" t="n">
        <f aca="false">20*B13</f>
        <v>1920</v>
      </c>
      <c r="E21" s="14" t="s">
        <v>24</v>
      </c>
      <c r="F21" s="14" t="s">
        <v>25</v>
      </c>
    </row>
    <row r="22" customFormat="false" ht="60" hidden="false" customHeight="true" outlineLevel="0" collapsed="false">
      <c r="A22" s="13" t="n">
        <v>2</v>
      </c>
      <c r="B22" s="14" t="s">
        <v>26</v>
      </c>
      <c r="C22" s="14" t="s">
        <v>27</v>
      </c>
      <c r="D22" s="15" t="n">
        <f aca="false">25*B13</f>
        <v>2400</v>
      </c>
      <c r="E22" s="14" t="s">
        <v>28</v>
      </c>
      <c r="F22" s="14" t="s">
        <v>29</v>
      </c>
    </row>
    <row r="23" customFormat="false" ht="60" hidden="false" customHeight="true" outlineLevel="0" collapsed="false">
      <c r="A23" s="13" t="n">
        <v>3</v>
      </c>
      <c r="B23" s="14" t="s">
        <v>30</v>
      </c>
      <c r="C23" s="14" t="s">
        <v>31</v>
      </c>
      <c r="D23" s="15" t="n">
        <f aca="false">20*B13</f>
        <v>1920</v>
      </c>
      <c r="E23" s="14" t="s">
        <v>24</v>
      </c>
      <c r="F23" s="14" t="s">
        <v>32</v>
      </c>
    </row>
    <row r="24" customFormat="false" ht="60" hidden="false" customHeight="true" outlineLevel="0" collapsed="false">
      <c r="A24" s="13" t="n">
        <v>4</v>
      </c>
      <c r="B24" s="14" t="s">
        <v>33</v>
      </c>
      <c r="C24" s="14" t="s">
        <v>34</v>
      </c>
      <c r="D24" s="15" t="n">
        <f aca="false">B18</f>
        <v>20256</v>
      </c>
      <c r="E24" s="14" t="s">
        <v>35</v>
      </c>
      <c r="F24" s="14" t="s">
        <v>36</v>
      </c>
    </row>
    <row r="25" customFormat="false" ht="60" hidden="false" customHeight="true" outlineLevel="0" collapsed="false">
      <c r="A25" s="13" t="n">
        <v>5</v>
      </c>
      <c r="B25" s="14" t="s">
        <v>37</v>
      </c>
      <c r="C25" s="14" t="s">
        <v>38</v>
      </c>
      <c r="D25" s="15" t="n">
        <v>100</v>
      </c>
      <c r="E25" s="14" t="s">
        <v>39</v>
      </c>
      <c r="F25" s="14" t="s">
        <v>40</v>
      </c>
    </row>
    <row r="26" customFormat="false" ht="60" hidden="false" customHeight="true" outlineLevel="0" collapsed="false">
      <c r="A26" s="13" t="n">
        <v>6</v>
      </c>
      <c r="B26" s="14" t="s">
        <v>41</v>
      </c>
      <c r="C26" s="14" t="s">
        <v>42</v>
      </c>
      <c r="D26" s="15"/>
      <c r="E26" s="14" t="s">
        <v>43</v>
      </c>
      <c r="F26" s="14" t="s">
        <v>44</v>
      </c>
    </row>
    <row r="27" customFormat="false" ht="60" hidden="false" customHeight="true" outlineLevel="0" collapsed="false">
      <c r="A27" s="13" t="n">
        <v>7</v>
      </c>
      <c r="B27" s="14" t="s">
        <v>45</v>
      </c>
      <c r="C27" s="14" t="s">
        <v>46</v>
      </c>
      <c r="D27" s="15" t="n">
        <v>500</v>
      </c>
      <c r="E27" s="14" t="s">
        <v>47</v>
      </c>
      <c r="F27" s="14" t="s">
        <v>48</v>
      </c>
    </row>
    <row r="28" customFormat="false" ht="60" hidden="false" customHeight="true" outlineLevel="0" collapsed="false">
      <c r="A28" s="13" t="n">
        <v>8</v>
      </c>
      <c r="B28" s="14" t="s">
        <v>49</v>
      </c>
      <c r="C28" s="14" t="s">
        <v>50</v>
      </c>
      <c r="D28" s="15" t="n">
        <v>2500</v>
      </c>
      <c r="E28" s="14" t="s">
        <v>35</v>
      </c>
      <c r="F28" s="14" t="s">
        <v>51</v>
      </c>
    </row>
    <row r="30" customFormat="false" ht="31.5" hidden="false" customHeight="true" outlineLevel="0" collapsed="false">
      <c r="C30" s="16" t="s">
        <v>52</v>
      </c>
      <c r="D30" s="17" t="n">
        <f aca="false">SUM(D21:D28)</f>
        <v>29596</v>
      </c>
      <c r="E30" s="18"/>
      <c r="F30" s="19" t="s">
        <v>53</v>
      </c>
    </row>
    <row r="31" customFormat="false" ht="31.5" hidden="false" customHeight="true" outlineLevel="0" collapsed="false">
      <c r="C31" s="20" t="s">
        <v>54</v>
      </c>
      <c r="D31" s="21" t="n">
        <f aca="false">D30*12</f>
        <v>355152</v>
      </c>
      <c r="E31" s="22"/>
      <c r="F31" s="19" t="s">
        <v>55</v>
      </c>
    </row>
    <row r="33" customFormat="false" ht="15" hidden="false" customHeight="false" outlineLevel="0" collapsed="false">
      <c r="A33" s="3" t="s">
        <v>56</v>
      </c>
      <c r="B33" s="3"/>
      <c r="C33" s="3"/>
      <c r="D33" s="3"/>
      <c r="E33" s="3"/>
      <c r="F33" s="3"/>
    </row>
    <row r="34" customFormat="false" ht="15" hidden="false" customHeight="true" outlineLevel="0" collapsed="false">
      <c r="A34" s="23" t="s">
        <v>57</v>
      </c>
      <c r="B34" s="23"/>
      <c r="C34" s="23"/>
      <c r="D34" s="23"/>
      <c r="E34" s="23"/>
      <c r="F34" s="23"/>
    </row>
    <row r="35" customFormat="false" ht="15" hidden="false" customHeight="true" outlineLevel="0" collapsed="false">
      <c r="A35" s="23" t="s">
        <v>58</v>
      </c>
      <c r="B35" s="23"/>
      <c r="C35" s="23"/>
      <c r="D35" s="23"/>
      <c r="E35" s="23"/>
      <c r="F35" s="23"/>
    </row>
    <row r="36" customFormat="false" ht="15" hidden="false" customHeight="true" outlineLevel="0" collapsed="false">
      <c r="A36" s="23" t="s">
        <v>59</v>
      </c>
      <c r="B36" s="23"/>
      <c r="C36" s="23"/>
      <c r="D36" s="23"/>
      <c r="E36" s="23"/>
      <c r="F36" s="23"/>
    </row>
    <row r="37" customFormat="false" ht="15" hidden="false" customHeight="true" outlineLevel="0" collapsed="false">
      <c r="A37" s="23" t="s">
        <v>60</v>
      </c>
      <c r="B37" s="23"/>
      <c r="C37" s="23"/>
      <c r="D37" s="23"/>
      <c r="E37" s="23"/>
      <c r="F37" s="23"/>
    </row>
    <row r="38" customFormat="false" ht="15" hidden="false" customHeight="true" outlineLevel="0" collapsed="false">
      <c r="A38" s="23" t="s">
        <v>61</v>
      </c>
      <c r="B38" s="23"/>
      <c r="C38" s="23"/>
      <c r="D38" s="23"/>
      <c r="E38" s="23"/>
      <c r="F38" s="23"/>
    </row>
    <row r="39" customFormat="false" ht="15" hidden="false" customHeight="true" outlineLevel="0" collapsed="false">
      <c r="A39" s="23" t="s">
        <v>62</v>
      </c>
      <c r="B39" s="23"/>
      <c r="C39" s="23"/>
      <c r="D39" s="23"/>
      <c r="E39" s="23"/>
      <c r="F39" s="23"/>
    </row>
    <row r="40" customFormat="false" ht="15" hidden="false" customHeight="true" outlineLevel="0" collapsed="false">
      <c r="A40" s="23" t="s">
        <v>63</v>
      </c>
      <c r="B40" s="23"/>
      <c r="C40" s="23"/>
      <c r="D40" s="23"/>
      <c r="E40" s="23"/>
      <c r="F40" s="23"/>
    </row>
  </sheetData>
  <mergeCells count="11">
    <mergeCell ref="A1:F1"/>
    <mergeCell ref="A2:F2"/>
    <mergeCell ref="A4:F4"/>
    <mergeCell ref="A33:F33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2026-05-13T10:23:27Z</dcterms:created>
  <dc:creator>openpyxl</dc:creator>
  <dc:description/>
  <dc:language>en-US</dc:language>
  <cp:lastModifiedBy/>
  <dcterms:modified xsi:type="dcterms:W3CDTF">2026-05-13T10:23:27Z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